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29" codeName="{320AAD7A-AEEB-3B57-35EE-6C7AAB037B02}"/>
  <workbookPr codeName="ThisWorkbook" defaultThemeVersion="166925"/>
  <mc:AlternateContent xmlns:mc="http://schemas.openxmlformats.org/markup-compatibility/2006">
    <mc:Choice Requires="x15">
      <x15ac:absPath xmlns:x15ac="http://schemas.microsoft.com/office/spreadsheetml/2010/11/ac" url="C:\Users\ADN\Documents\"/>
    </mc:Choice>
  </mc:AlternateContent>
  <bookViews>
    <workbookView xWindow="0" yWindow="0" windowWidth="15345" windowHeight="4455"/>
  </bookViews>
  <sheets>
    <sheet name="About" sheetId="9" r:id="rId1"/>
    <sheet name="Def0#" sheetId="7" r:id="rId2"/>
    <sheet name="Def0Ex" sheetId="2" r:id="rId3"/>
    <sheet name="Def1Crypto#" sheetId="8" r:id="rId4"/>
    <sheet name="Def1Ex" sheetId="1" r:id="rId5"/>
    <sheet name="Block" sheetId="3" r:id="rId6"/>
    <sheet name="BlockChain" sheetId="6" r:id="rId7"/>
    <sheet name="Peers" sheetId="4" r:id="rId8"/>
    <sheet name="Tokens" sheetId="12" r:id="rId9"/>
    <sheet name="MiningFarm" sheetId="11" r:id="rId10"/>
  </sheets>
  <functionGroups builtInGroupCount="19"/>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9" i="12" l="1"/>
  <c r="C11" i="12" s="1"/>
  <c r="C7" i="2"/>
  <c r="C8" i="2"/>
  <c r="C9" i="2"/>
  <c r="C10" i="2"/>
  <c r="C9" i="6"/>
  <c r="C11" i="6" s="1"/>
  <c r="C41" i="4"/>
  <c r="C43" i="4" s="1"/>
  <c r="C25" i="4"/>
  <c r="C27" i="4" s="1"/>
  <c r="F11" i="3"/>
  <c r="F9" i="3"/>
  <c r="C9" i="4"/>
  <c r="C11" i="3"/>
  <c r="C6" i="2"/>
  <c r="C5" i="2"/>
  <c r="F9" i="2"/>
  <c r="C29" i="4"/>
  <c r="C13" i="3"/>
  <c r="F10" i="2"/>
  <c r="F13" i="3"/>
  <c r="F8" i="2"/>
  <c r="C13" i="12"/>
  <c r="C13" i="6"/>
  <c r="F5" i="2"/>
  <c r="C45" i="4"/>
  <c r="F9" i="12" l="1"/>
  <c r="F11" i="12" s="1"/>
  <c r="F9" i="6"/>
  <c r="F11" i="6" s="1"/>
  <c r="F41" i="4"/>
  <c r="F43" i="4" s="1"/>
  <c r="F25" i="4"/>
  <c r="F27" i="4" s="1"/>
  <c r="F13" i="12"/>
  <c r="F7" i="2"/>
  <c r="C4" i="1"/>
  <c r="D4" i="1"/>
  <c r="F13" i="6"/>
  <c r="F6" i="2"/>
  <c r="F29" i="4"/>
  <c r="F45" i="4"/>
  <c r="E4" i="1"/>
  <c r="I9" i="12" l="1"/>
  <c r="I11" i="12" s="1"/>
  <c r="I9" i="6"/>
  <c r="I11" i="6" s="1"/>
  <c r="I41" i="4"/>
  <c r="I43" i="4" s="1"/>
  <c r="I25" i="4"/>
  <c r="I27" i="4" s="1"/>
  <c r="I13" i="12"/>
  <c r="I13" i="6"/>
  <c r="I29" i="4"/>
  <c r="I45" i="4"/>
  <c r="L9" i="12" l="1"/>
  <c r="L11" i="12" s="1"/>
  <c r="L9" i="6"/>
  <c r="L11" i="6" s="1"/>
  <c r="L41" i="4"/>
  <c r="L43" i="4" s="1"/>
  <c r="L25" i="4"/>
  <c r="L27" i="4" s="1"/>
  <c r="C11" i="4"/>
  <c r="L13" i="12"/>
  <c r="C13" i="4"/>
  <c r="L45" i="4"/>
  <c r="L29" i="4"/>
  <c r="L13" i="6"/>
  <c r="O9" i="12" l="1"/>
  <c r="O11" i="12" s="1"/>
  <c r="O9" i="6"/>
  <c r="O11" i="6" s="1"/>
  <c r="O41" i="4"/>
  <c r="O43" i="4" s="1"/>
  <c r="O25" i="4"/>
  <c r="O27" i="4" s="1"/>
  <c r="F9" i="4"/>
  <c r="F11" i="4" s="1"/>
  <c r="O29" i="4"/>
  <c r="O13" i="12"/>
  <c r="F13" i="4"/>
  <c r="O45" i="4"/>
  <c r="O13" i="6"/>
  <c r="I9" i="4" l="1"/>
  <c r="I11" i="4" s="1"/>
  <c r="I13" i="4"/>
  <c r="L9" i="4" l="1"/>
  <c r="L11" i="4" s="1"/>
  <c r="L13" i="4"/>
  <c r="O9" i="4" l="1"/>
  <c r="O11" i="4" s="1"/>
  <c r="O13" i="4"/>
</calcChain>
</file>

<file path=xl/sharedStrings.xml><?xml version="1.0" encoding="utf-8"?>
<sst xmlns="http://schemas.openxmlformats.org/spreadsheetml/2006/main" count="292" uniqueCount="78">
  <si>
    <t>Input</t>
  </si>
  <si>
    <t>Hash</t>
  </si>
  <si>
    <t>Hi</t>
  </si>
  <si>
    <t>HI</t>
  </si>
  <si>
    <t>Hi.</t>
  </si>
  <si>
    <t>Shakti</t>
  </si>
  <si>
    <t>Swarup</t>
  </si>
  <si>
    <t>Patel</t>
  </si>
  <si>
    <t>Hash of Numbers</t>
  </si>
  <si>
    <t>Hash of String</t>
  </si>
  <si>
    <t>mod 5</t>
  </si>
  <si>
    <t>Block Number</t>
  </si>
  <si>
    <t>Nounce</t>
  </si>
  <si>
    <t>Data</t>
  </si>
  <si>
    <t>Hello</t>
  </si>
  <si>
    <t>Hello1</t>
  </si>
  <si>
    <t>Encrypted(Page) + Hash as Proof of Work</t>
  </si>
  <si>
    <t>Simple Page &amp; Hash</t>
  </si>
  <si>
    <t>Ruled Hash as Proof of Work, 3rd&amp; 4th char as 'a'</t>
  </si>
  <si>
    <t>Page Data</t>
  </si>
  <si>
    <t>Previous Hash</t>
  </si>
  <si>
    <t>Output</t>
  </si>
  <si>
    <t>Encrypted(Page)  + Hash as Proof of Work</t>
  </si>
  <si>
    <t>Block#1</t>
  </si>
  <si>
    <t>Block#0 or Genesis Block</t>
  </si>
  <si>
    <t>hello1233adasdsa</t>
  </si>
  <si>
    <t>Block#2</t>
  </si>
  <si>
    <t>Block#3</t>
  </si>
  <si>
    <t>Block#4</t>
  </si>
  <si>
    <t>Peer 2</t>
  </si>
  <si>
    <t>Peer 1</t>
  </si>
  <si>
    <t>Peer 3</t>
  </si>
  <si>
    <t>Defination as per wiki</t>
  </si>
  <si>
    <t>What is a Hash Function?</t>
  </si>
  <si>
    <r>
      <t>A </t>
    </r>
    <r>
      <rPr>
        <b/>
        <sz val="18"/>
        <color rgb="FF222222"/>
        <rFont val="Arial"/>
        <family val="2"/>
      </rPr>
      <t>hash function</t>
    </r>
    <r>
      <rPr>
        <sz val="18"/>
        <color rgb="FF222222"/>
        <rFont val="Arial"/>
        <family val="2"/>
      </rPr>
      <t> is any </t>
    </r>
    <r>
      <rPr>
        <sz val="18"/>
        <color rgb="FF0B0080"/>
        <rFont val="Arial"/>
        <family val="2"/>
      </rPr>
      <t>function</t>
    </r>
    <r>
      <rPr>
        <sz val="18"/>
        <color rgb="FF222222"/>
        <rFont val="Arial"/>
        <family val="2"/>
      </rPr>
      <t> that can be used to map </t>
    </r>
    <r>
      <rPr>
        <sz val="18"/>
        <color rgb="FF0B0080"/>
        <rFont val="Arial"/>
        <family val="2"/>
      </rPr>
      <t>data</t>
    </r>
    <r>
      <rPr>
        <sz val="18"/>
        <color rgb="FF222222"/>
        <rFont val="Arial"/>
        <family val="2"/>
      </rPr>
      <t> of arbitrary size to data of fixed size. The values returned by a hash function are called </t>
    </r>
    <r>
      <rPr>
        <b/>
        <sz val="18"/>
        <color rgb="FF222222"/>
        <rFont val="Arial"/>
        <family val="2"/>
      </rPr>
      <t>hash values</t>
    </r>
    <r>
      <rPr>
        <sz val="18"/>
        <color rgb="FF222222"/>
        <rFont val="Arial"/>
        <family val="2"/>
      </rPr>
      <t>, </t>
    </r>
    <r>
      <rPr>
        <b/>
        <sz val="18"/>
        <color rgb="FF222222"/>
        <rFont val="Arial"/>
        <family val="2"/>
      </rPr>
      <t>hash codes</t>
    </r>
    <r>
      <rPr>
        <sz val="18"/>
        <color rgb="FF222222"/>
        <rFont val="Arial"/>
        <family val="2"/>
      </rPr>
      <t>, </t>
    </r>
    <r>
      <rPr>
        <b/>
        <sz val="18"/>
        <color rgb="FF222222"/>
        <rFont val="Arial"/>
        <family val="2"/>
      </rPr>
      <t>digests</t>
    </r>
    <r>
      <rPr>
        <sz val="18"/>
        <color rgb="FF222222"/>
        <rFont val="Arial"/>
        <family val="2"/>
      </rPr>
      <t>, or simply </t>
    </r>
    <r>
      <rPr>
        <b/>
        <sz val="18"/>
        <color rgb="FF222222"/>
        <rFont val="Arial"/>
        <family val="2"/>
      </rPr>
      <t>hashes</t>
    </r>
    <r>
      <rPr>
        <sz val="18"/>
        <color rgb="FF222222"/>
        <rFont val="Arial"/>
        <family val="2"/>
      </rPr>
      <t>.</t>
    </r>
  </si>
  <si>
    <t>A hash function that maps names to integers from 0 to 15.</t>
  </si>
  <si>
    <t>What is a Cryptographic Hash Function?</t>
  </si>
  <si>
    <t xml:space="preserve">A cryptographic hash function is a special class of hash function that has certain properties which make it suitable for use in cryptography. </t>
  </si>
  <si>
    <t xml:space="preserve">A cryptographic hash function (specifically SHA-1) at work. A small change in the input (in the word "over") drastically changes the output (digest). </t>
  </si>
  <si>
    <t>Number</t>
  </si>
  <si>
    <t>Hashed</t>
  </si>
  <si>
    <t>Function</t>
  </si>
  <si>
    <t>Input String</t>
  </si>
  <si>
    <t>Corresponding Id</t>
  </si>
  <si>
    <t>Pune</t>
  </si>
  <si>
    <t>India</t>
  </si>
  <si>
    <t>Wakad</t>
  </si>
  <si>
    <t>MD5, SHA1, SHA2, SHA256, SHA512</t>
  </si>
  <si>
    <t>#methods</t>
  </si>
  <si>
    <t>Used in Example</t>
  </si>
  <si>
    <t>SHA1</t>
  </si>
  <si>
    <t>Others can be used</t>
  </si>
  <si>
    <t>Password verification</t>
  </si>
  <si>
    <t>Storing all user passwords as cleartext can result in a massive security breach if the password file is compromised. One way to reduce this danger is to only store the hash digest of each password. To authenticate a user, the password presented by the user is hashed and compared with the stored hash.</t>
  </si>
  <si>
    <t>Proof-of-work</t>
  </si>
  <si>
    <t>File or data identifier</t>
  </si>
  <si>
    <t>A message digest can also serve as a means of reliably identifying a file; several source code management systems, including Git, Mercurial and Monotone, use the sha1sum of various types of content (file content, directory trees, ancestry information, etc.) to uniquely identify them. Hashes are used to identify files on peer-to-peer filesharing networks</t>
  </si>
  <si>
    <t>It is an economic measure to deter denial-of-service attacks and other service abuses such as spam on a network by requiring some work from the service requester, usually meaning processing time by a computer.</t>
  </si>
  <si>
    <t>#Usage</t>
  </si>
  <si>
    <t>https://www.youtube.com/watch?v=_160oMzblY8&amp;vl=en</t>
  </si>
  <si>
    <t>by</t>
  </si>
  <si>
    <t>Anders Brownworth</t>
  </si>
  <si>
    <t>https://en.wikipedia.org/wiki/Cryptographic_hash_function</t>
  </si>
  <si>
    <t>https://en.wikipedia.org/wiki/Hash_function</t>
  </si>
  <si>
    <t>Reference</t>
  </si>
  <si>
    <t>About</t>
  </si>
  <si>
    <t>Shakti Patel
(shakti.swarup@gmail.com)</t>
  </si>
  <si>
    <t>This XLS sheet is prepared to help understand the core logic of blockchain the hash function and the mechanism. 
I have seen in various meet up that it takes considerable time to explain this basic and very important concept behind blockchain technology.
The main reference is the video from Anders.This is for learning purpose only and can be improved further.</t>
  </si>
  <si>
    <t>Sorting, Hash Table, Indexing</t>
  </si>
  <si>
    <t>http://bitcoin-newswire.com/2017/12/04/bitfury-group-and-hut-8-team-up-to-establish-60-mw-bitcoin-mining-farm/</t>
  </si>
  <si>
    <t>Insight of a Bit Coin Mining Farm</t>
  </si>
  <si>
    <t>Source:-</t>
  </si>
  <si>
    <t>Some other small mining rigs</t>
  </si>
  <si>
    <t>{From:Alice,To:Bob,Value:23},
{From:Michel,To:Nancy,Value:2},
{From:Mary,To:Hilly,Value:3},</t>
  </si>
  <si>
    <t>{From:Suv,To:Hira,Value:102},
{From:Ram,To:Hari,Value:34},
{From:Gary,To:Bil,Value:367},</t>
  </si>
  <si>
    <t>{From:Bil,To:Sil,Value:45},
{From:Michel,To:Nancy,Value:2},
{From:Hary,To:Ran,Value:36},</t>
  </si>
  <si>
    <t>{From:Suv,To:Hira,Value:67},
{From:Ram,To:Hari,Value:56},
{From:Gary,To:Bil,Value:7},</t>
  </si>
  <si>
    <t>{From:Mira,To:Siv,Value:5},
{From:Gari,To:Hue,Value:89},
{From:Yun,To:Jim,Value:23},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</si>
</sst>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1"/>
      <color theme="1"/>
      <name val="Calibri"/>
      <family val="2"/>
      <scheme val="minor"/>
    </font>
    <font>
      <b/>
      <sz val="14"/>
      <color theme="1"/>
      <name val="Calibri"/>
      <family val="2"/>
      <scheme val="minor"/>
    </font>
    <font>
      <sz val="18"/>
      <color rgb="FF222222"/>
      <name val="Arial"/>
      <family val="2"/>
    </font>
    <font>
      <b/>
      <sz val="18"/>
      <color rgb="FF222222"/>
      <name val="Arial"/>
      <family val="2"/>
    </font>
    <font>
      <sz val="18"/>
      <color rgb="FF0B0080"/>
      <name val="Arial"/>
      <family val="2"/>
    </font>
    <font>
      <sz val="12"/>
      <color theme="1"/>
      <name val="Calibri"/>
      <family val="2"/>
      <scheme val="minor"/>
    </font>
    <font>
      <sz val="14"/>
      <color theme="1"/>
      <name val="Calibri"/>
      <family val="2"/>
      <scheme val="minor"/>
    </font>
    <font>
      <sz val="16"/>
      <color theme="1"/>
      <name val="Calibri"/>
      <family val="2"/>
      <scheme val="minor"/>
    </font>
    <font>
      <u/>
      <sz val="11"/>
      <color theme="10"/>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rgb="FF92D050"/>
        <bgColor indexed="64"/>
      </patternFill>
    </fill>
    <fill>
      <patternFill patternType="solid">
        <fgColor theme="5"/>
        <bgColor indexed="64"/>
      </patternFill>
    </fill>
    <fill>
      <patternFill patternType="solid">
        <fgColor theme="9"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s>
  <cellStyleXfs count="2">
    <xf numFmtId="0" fontId="0" fillId="0" borderId="0"/>
    <xf numFmtId="0" fontId="9" fillId="0" borderId="0" applyNumberFormat="0" applyFill="0" applyBorder="0" applyAlignment="0" applyProtection="0"/>
  </cellStyleXfs>
  <cellXfs count="61">
    <xf numFmtId="0" fontId="0" fillId="0" borderId="0" xfId="0"/>
    <xf numFmtId="0" fontId="1" fillId="0" borderId="0" xfId="0" applyFont="1"/>
    <xf numFmtId="0" fontId="0" fillId="0" borderId="0" xfId="0" applyFill="1"/>
    <xf numFmtId="0" fontId="1" fillId="3" borderId="1" xfId="0" applyFont="1" applyFill="1" applyBorder="1" applyAlignment="1">
      <alignment horizontal="center" vertical="center"/>
    </xf>
    <xf numFmtId="0" fontId="0" fillId="4" borderId="1" xfId="0" applyFill="1" applyBorder="1"/>
    <xf numFmtId="0" fontId="0" fillId="2" borderId="1" xfId="0" applyFill="1" applyBorder="1"/>
    <xf numFmtId="0" fontId="0" fillId="0" borderId="0" xfId="0" applyAlignment="1">
      <alignment horizontal="left" vertical="center"/>
    </xf>
    <xf numFmtId="0" fontId="0" fillId="0" borderId="0" xfId="0" applyAlignment="1">
      <alignment horizontal="left"/>
    </xf>
    <xf numFmtId="0" fontId="1" fillId="3" borderId="1" xfId="0" applyFont="1" applyFill="1" applyBorder="1"/>
    <xf numFmtId="0" fontId="0" fillId="0" borderId="1" xfId="0" applyBorder="1" applyAlignment="1">
      <alignment horizontal="left" vertical="center"/>
    </xf>
    <xf numFmtId="0" fontId="1" fillId="3" borderId="1" xfId="0" applyFont="1" applyFill="1" applyBorder="1" applyAlignment="1">
      <alignment horizontal="left" vertical="center"/>
    </xf>
    <xf numFmtId="0" fontId="0" fillId="0" borderId="1" xfId="0" applyBorder="1"/>
    <xf numFmtId="0" fontId="1" fillId="4" borderId="1" xfId="0" applyFont="1" applyFill="1" applyBorder="1"/>
    <xf numFmtId="0" fontId="0" fillId="2" borderId="4" xfId="0" applyFill="1" applyBorder="1"/>
    <xf numFmtId="0" fontId="1" fillId="2" borderId="3" xfId="0" applyFont="1" applyFill="1" applyBorder="1"/>
    <xf numFmtId="0" fontId="1" fillId="2" borderId="4" xfId="0" applyFont="1" applyFill="1" applyBorder="1"/>
    <xf numFmtId="0" fontId="0" fillId="0" borderId="0" xfId="0" applyBorder="1" applyAlignment="1">
      <alignment horizontal="left" vertical="center"/>
    </xf>
    <xf numFmtId="0" fontId="0" fillId="0" borderId="1" xfId="0" applyBorder="1" applyAlignment="1">
      <alignment horizontal="left" vertical="center" wrapText="1"/>
    </xf>
    <xf numFmtId="1" fontId="0" fillId="0" borderId="1" xfId="0" applyNumberFormat="1" applyBorder="1" applyAlignment="1">
      <alignment horizontal="left" vertical="center"/>
    </xf>
    <xf numFmtId="0" fontId="2" fillId="5" borderId="0" xfId="0" applyFont="1" applyFill="1"/>
    <xf numFmtId="0" fontId="2" fillId="5" borderId="5" xfId="0" applyFont="1" applyFill="1" applyBorder="1"/>
    <xf numFmtId="0" fontId="0" fillId="0" borderId="6" xfId="0" applyBorder="1"/>
    <xf numFmtId="0" fontId="0" fillId="0" borderId="7" xfId="0" applyBorder="1"/>
    <xf numFmtId="0" fontId="0" fillId="0" borderId="0" xfId="0" applyBorder="1"/>
    <xf numFmtId="0" fontId="1" fillId="3" borderId="8" xfId="0" applyFont="1" applyFill="1" applyBorder="1"/>
    <xf numFmtId="0" fontId="0" fillId="0" borderId="9" xfId="0" applyBorder="1" applyAlignment="1">
      <alignment horizontal="left" vertical="center"/>
    </xf>
    <xf numFmtId="0" fontId="1" fillId="0" borderId="10" xfId="0" applyFont="1" applyBorder="1"/>
    <xf numFmtId="0" fontId="1" fillId="0" borderId="0" xfId="0" applyFont="1" applyBorder="1"/>
    <xf numFmtId="0" fontId="0" fillId="0" borderId="11" xfId="0" applyBorder="1" applyAlignment="1">
      <alignment horizontal="left" vertical="center"/>
    </xf>
    <xf numFmtId="0" fontId="1" fillId="3" borderId="8" xfId="0" applyFont="1" applyFill="1" applyBorder="1" applyAlignment="1">
      <alignment horizontal="left" vertical="center"/>
    </xf>
    <xf numFmtId="0" fontId="0" fillId="0" borderId="10" xfId="0" applyBorder="1" applyAlignment="1">
      <alignment horizontal="left" vertical="center"/>
    </xf>
    <xf numFmtId="0" fontId="0" fillId="0" borderId="9" xfId="0" applyBorder="1" applyAlignment="1">
      <alignment horizontal="left" vertical="center" wrapText="1"/>
    </xf>
    <xf numFmtId="0" fontId="0" fillId="0" borderId="10" xfId="0" applyBorder="1"/>
    <xf numFmtId="0" fontId="0" fillId="0" borderId="12" xfId="0" applyBorder="1"/>
    <xf numFmtId="0" fontId="0" fillId="0" borderId="13" xfId="0" applyBorder="1" applyAlignment="1">
      <alignment horizontal="left" vertical="center"/>
    </xf>
    <xf numFmtId="0" fontId="0" fillId="0" borderId="13" xfId="0" applyBorder="1"/>
    <xf numFmtId="0" fontId="0" fillId="0" borderId="14" xfId="0" applyBorder="1" applyAlignment="1">
      <alignment horizontal="left" vertical="center"/>
    </xf>
    <xf numFmtId="0" fontId="2" fillId="2" borderId="2" xfId="0" applyFont="1" applyFill="1" applyBorder="1" applyAlignment="1">
      <alignment horizontal="center"/>
    </xf>
    <xf numFmtId="0" fontId="8" fillId="2" borderId="3" xfId="0" applyFont="1" applyFill="1" applyBorder="1"/>
    <xf numFmtId="0" fontId="3" fillId="0" borderId="4" xfId="0" applyFont="1" applyBorder="1" applyAlignment="1">
      <alignment wrapText="1"/>
    </xf>
    <xf numFmtId="0" fontId="1" fillId="2" borderId="2" xfId="0" applyFont="1" applyFill="1" applyBorder="1"/>
    <xf numFmtId="0" fontId="0" fillId="0" borderId="1" xfId="0" quotePrefix="1" applyBorder="1"/>
    <xf numFmtId="0" fontId="1" fillId="3" borderId="1" xfId="0" applyFont="1" applyFill="1" applyBorder="1" applyAlignment="1">
      <alignment horizontal="right" vertical="center"/>
    </xf>
    <xf numFmtId="0" fontId="0" fillId="6" borderId="1" xfId="0" applyFill="1" applyBorder="1" applyAlignment="1">
      <alignment horizontal="center"/>
    </xf>
    <xf numFmtId="0" fontId="8" fillId="4" borderId="1" xfId="0" applyFont="1" applyFill="1" applyBorder="1"/>
    <xf numFmtId="0" fontId="8" fillId="0" borderId="0" xfId="0" applyFont="1" applyFill="1"/>
    <xf numFmtId="0" fontId="6" fillId="2" borderId="1" xfId="0" applyFont="1" applyFill="1" applyBorder="1"/>
    <xf numFmtId="0" fontId="6" fillId="0" borderId="0" xfId="0" applyFont="1"/>
    <xf numFmtId="0" fontId="0" fillId="0" borderId="0" xfId="0" applyFill="1" applyBorder="1"/>
    <xf numFmtId="0" fontId="9" fillId="0" borderId="1" xfId="1" applyBorder="1"/>
    <xf numFmtId="0" fontId="2" fillId="2" borderId="1" xfId="0" applyFont="1" applyFill="1" applyBorder="1"/>
    <xf numFmtId="0" fontId="2" fillId="2" borderId="1" xfId="0" applyFont="1" applyFill="1" applyBorder="1" applyAlignment="1">
      <alignment horizontal="center"/>
    </xf>
    <xf numFmtId="0" fontId="7" fillId="0" borderId="1" xfId="0" applyFont="1" applyBorder="1" applyAlignment="1">
      <alignment wrapText="1"/>
    </xf>
    <xf numFmtId="0" fontId="0" fillId="2" borderId="15" xfId="0" applyFill="1" applyBorder="1"/>
    <xf numFmtId="0" fontId="0" fillId="0" borderId="1" xfId="0" applyBorder="1" applyAlignment="1">
      <alignment horizontal="center" vertical="center" wrapText="1"/>
    </xf>
    <xf numFmtId="0" fontId="1" fillId="3" borderId="1" xfId="0" applyFont="1" applyFill="1" applyBorder="1" applyAlignment="1">
      <alignment horizontal="center" vertical="center"/>
    </xf>
    <xf numFmtId="0" fontId="8" fillId="6" borderId="1" xfId="0" applyFont="1" applyFill="1" applyBorder="1" applyAlignment="1">
      <alignment horizontal="left" vertical="center" wrapText="1"/>
    </xf>
    <xf numFmtId="0" fontId="1" fillId="2" borderId="1" xfId="0" applyFont="1" applyFill="1" applyBorder="1" applyAlignment="1">
      <alignment horizontal="center"/>
    </xf>
    <xf numFmtId="0" fontId="1" fillId="2" borderId="3" xfId="0" applyFont="1" applyFill="1" applyBorder="1" applyAlignment="1">
      <alignment horizontal="center"/>
    </xf>
    <xf numFmtId="0" fontId="1" fillId="2" borderId="15" xfId="0" applyFont="1" applyFill="1" applyBorder="1" applyAlignment="1">
      <alignment horizontal="center"/>
    </xf>
    <xf numFmtId="0" fontId="1" fillId="2" borderId="4" xfId="0" applyFont="1" applyFill="1" applyBorder="1" applyAlignment="1">
      <alignment horizontal="center"/>
    </xf>
  </cellXfs>
  <cellStyles count="2">
    <cellStyle name="Hyperlink" xfId="1" builtinId="8"/>
    <cellStyle name="Normal" xfId="0" builtinId="0"/>
  </cellStyles>
  <dxfs count="52">
    <dxf>
      <font>
        <color rgb="FF006100"/>
      </font>
      <fill>
        <patternFill>
          <bgColor rgb="FFC6EFCE"/>
        </patternFill>
      </fill>
    </dxf>
    <dxf>
      <font>
        <strike/>
        <color rgb="FFFF0000"/>
      </font>
    </dxf>
    <dxf>
      <font>
        <color rgb="FF006100"/>
      </font>
      <fill>
        <patternFill>
          <bgColor rgb="FFC6EFCE"/>
        </patternFill>
      </fill>
    </dxf>
    <dxf>
      <font>
        <strike/>
        <color rgb="FFFF0000"/>
      </font>
    </dxf>
    <dxf>
      <font>
        <color rgb="FF006100"/>
      </font>
      <fill>
        <patternFill>
          <bgColor rgb="FFC6EFCE"/>
        </patternFill>
      </fill>
    </dxf>
    <dxf>
      <font>
        <strike/>
        <color rgb="FFFF0000"/>
      </font>
    </dxf>
    <dxf>
      <font>
        <color rgb="FF006100"/>
      </font>
      <fill>
        <patternFill>
          <bgColor rgb="FFC6EFCE"/>
        </patternFill>
      </fill>
    </dxf>
    <dxf>
      <font>
        <strike/>
        <color rgb="FFFF0000"/>
      </font>
    </dxf>
    <dxf>
      <font>
        <color rgb="FF006100"/>
      </font>
      <fill>
        <patternFill>
          <bgColor rgb="FFC6EFCE"/>
        </patternFill>
      </fill>
    </dxf>
    <dxf>
      <font>
        <strike/>
        <color rgb="FFFF0000"/>
      </font>
    </dxf>
    <dxf>
      <font>
        <color rgb="FF006100"/>
      </font>
      <fill>
        <patternFill>
          <bgColor rgb="FFC6EFCE"/>
        </patternFill>
      </fill>
    </dxf>
    <dxf>
      <font>
        <strike/>
        <color rgb="FFFF0000"/>
      </font>
    </dxf>
    <dxf>
      <font>
        <color rgb="FF006100"/>
      </font>
      <fill>
        <patternFill>
          <bgColor rgb="FFC6EFCE"/>
        </patternFill>
      </fill>
    </dxf>
    <dxf>
      <font>
        <strike/>
        <color rgb="FFFF0000"/>
      </font>
    </dxf>
    <dxf>
      <font>
        <color rgb="FF006100"/>
      </font>
      <fill>
        <patternFill>
          <bgColor rgb="FFC6EFCE"/>
        </patternFill>
      </fill>
    </dxf>
    <dxf>
      <font>
        <strike/>
        <color rgb="FFFF0000"/>
      </font>
    </dxf>
    <dxf>
      <font>
        <color rgb="FF006100"/>
      </font>
      <fill>
        <patternFill>
          <bgColor rgb="FFC6EFCE"/>
        </patternFill>
      </fill>
    </dxf>
    <dxf>
      <font>
        <strike/>
        <color rgb="FFFF0000"/>
      </font>
    </dxf>
    <dxf>
      <font>
        <color rgb="FF006100"/>
      </font>
      <fill>
        <patternFill>
          <bgColor rgb="FFC6EFCE"/>
        </patternFill>
      </fill>
    </dxf>
    <dxf>
      <font>
        <strike/>
        <color rgb="FFFF0000"/>
      </font>
    </dxf>
    <dxf>
      <font>
        <color rgb="FF006100"/>
      </font>
      <fill>
        <patternFill>
          <bgColor rgb="FFC6EFCE"/>
        </patternFill>
      </fill>
    </dxf>
    <dxf>
      <font>
        <strike/>
        <color rgb="FFFF0000"/>
      </font>
    </dxf>
    <dxf>
      <font>
        <color rgb="FF006100"/>
      </font>
      <fill>
        <patternFill>
          <bgColor rgb="FFC6EFCE"/>
        </patternFill>
      </fill>
    </dxf>
    <dxf>
      <font>
        <strike/>
        <color rgb="FFFF0000"/>
      </font>
    </dxf>
    <dxf>
      <font>
        <color rgb="FF006100"/>
      </font>
      <fill>
        <patternFill>
          <bgColor rgb="FFC6EFCE"/>
        </patternFill>
      </fill>
    </dxf>
    <dxf>
      <font>
        <strike/>
        <color rgb="FFFF0000"/>
      </font>
    </dxf>
    <dxf>
      <font>
        <color rgb="FF006100"/>
      </font>
      <fill>
        <patternFill>
          <bgColor rgb="FFC6EFCE"/>
        </patternFill>
      </fill>
    </dxf>
    <dxf>
      <font>
        <strike/>
        <color rgb="FFFF0000"/>
      </font>
    </dxf>
    <dxf>
      <font>
        <color rgb="FF006100"/>
      </font>
      <fill>
        <patternFill>
          <bgColor rgb="FFC6EFCE"/>
        </patternFill>
      </fill>
    </dxf>
    <dxf>
      <font>
        <strike/>
        <color rgb="FFFF0000"/>
      </font>
    </dxf>
    <dxf>
      <font>
        <color rgb="FF006100"/>
      </font>
      <fill>
        <patternFill>
          <bgColor rgb="FFC6EFCE"/>
        </patternFill>
      </fill>
    </dxf>
    <dxf>
      <font>
        <strike/>
        <color rgb="FFFF0000"/>
      </font>
    </dxf>
    <dxf>
      <font>
        <color rgb="FF006100"/>
      </font>
      <fill>
        <patternFill>
          <bgColor rgb="FFC6EFCE"/>
        </patternFill>
      </fill>
    </dxf>
    <dxf>
      <font>
        <strike/>
        <color rgb="FFFF0000"/>
      </font>
    </dxf>
    <dxf>
      <font>
        <color rgb="FF006100"/>
      </font>
      <fill>
        <patternFill>
          <bgColor rgb="FFC6EFCE"/>
        </patternFill>
      </fill>
    </dxf>
    <dxf>
      <font>
        <strike/>
        <color rgb="FFFF0000"/>
      </font>
    </dxf>
    <dxf>
      <font>
        <color rgb="FF006100"/>
      </font>
      <fill>
        <patternFill>
          <bgColor rgb="FFC6EFCE"/>
        </patternFill>
      </fill>
    </dxf>
    <dxf>
      <font>
        <strike/>
        <color rgb="FFFF0000"/>
      </font>
    </dxf>
    <dxf>
      <font>
        <color rgb="FF006100"/>
      </font>
      <fill>
        <patternFill>
          <bgColor rgb="FFC6EFCE"/>
        </patternFill>
      </fill>
    </dxf>
    <dxf>
      <font>
        <strike/>
        <color rgb="FFFF0000"/>
      </font>
    </dxf>
    <dxf>
      <font>
        <color rgb="FF006100"/>
      </font>
      <fill>
        <patternFill>
          <bgColor rgb="FFC6EFCE"/>
        </patternFill>
      </fill>
    </dxf>
    <dxf>
      <font>
        <strike/>
        <color rgb="FFFF0000"/>
      </font>
    </dxf>
    <dxf>
      <font>
        <color rgb="FF006100"/>
      </font>
      <fill>
        <patternFill>
          <bgColor rgb="FFC6EFCE"/>
        </patternFill>
      </fill>
    </dxf>
    <dxf>
      <font>
        <strike/>
        <color rgb="FFFF0000"/>
      </font>
    </dxf>
    <dxf>
      <font>
        <color rgb="FF006100"/>
      </font>
      <fill>
        <patternFill>
          <bgColor rgb="FFC6EFCE"/>
        </patternFill>
      </fill>
    </dxf>
    <dxf>
      <font>
        <strike/>
        <color rgb="FFFF0000"/>
      </font>
    </dxf>
    <dxf>
      <font>
        <color rgb="FF006100"/>
      </font>
      <fill>
        <patternFill>
          <bgColor rgb="FFC6EFCE"/>
        </patternFill>
      </fill>
    </dxf>
    <dxf>
      <font>
        <strike/>
        <color rgb="FFFF0000"/>
      </font>
    </dxf>
    <dxf>
      <font>
        <color rgb="FF006100"/>
      </font>
      <fill>
        <patternFill>
          <bgColor rgb="FFC6EFCE"/>
        </patternFill>
      </fill>
    </dxf>
    <dxf>
      <font>
        <strike/>
        <color rgb="FFFF0000"/>
      </font>
    </dxf>
    <dxf>
      <font>
        <color rgb="FF006100"/>
      </font>
      <fill>
        <patternFill>
          <bgColor rgb="FFC6EFCE"/>
        </patternFill>
      </fill>
    </dxf>
    <dxf>
      <font>
        <strike/>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image" Target="../media/image5.jpg"/><Relationship Id="rId2" Type="http://schemas.openxmlformats.org/officeDocument/2006/relationships/image" Target="../media/image4.jpg"/><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1</xdr:col>
      <xdr:colOff>304800</xdr:colOff>
      <xdr:row>7</xdr:row>
      <xdr:rowOff>114300</xdr:rowOff>
    </xdr:to>
    <xdr:sp macro="" textlink="">
      <xdr:nvSpPr>
        <xdr:cNvPr id="7169" name="AutoShape 1" descr="https://upload.wikimedia.org/wikipedia/commons/thumb/5/58/Hash_table_4_1_1_0_0_1_0_LL.svg/240px-Hash_table_4_1_1_0_0_1_0_LL.svg.png">
          <a:extLst>
            <a:ext uri="{FF2B5EF4-FFF2-40B4-BE49-F238E27FC236}">
              <a16:creationId xmlns:a16="http://schemas.microsoft.com/office/drawing/2014/main" id="{E3B71CAE-34AA-421A-A0CF-88C7762AF691}"/>
            </a:ext>
          </a:extLst>
        </xdr:cNvPr>
        <xdr:cNvSpPr>
          <a:spLocks noChangeAspect="1" noChangeArrowheads="1"/>
        </xdr:cNvSpPr>
      </xdr:nvSpPr>
      <xdr:spPr bwMode="auto">
        <a:xfrm>
          <a:off x="2019300" y="2266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2019301</xdr:colOff>
      <xdr:row>5</xdr:row>
      <xdr:rowOff>28575</xdr:rowOff>
    </xdr:from>
    <xdr:to>
      <xdr:col>1</xdr:col>
      <xdr:colOff>5172075</xdr:colOff>
      <xdr:row>16</xdr:row>
      <xdr:rowOff>57150</xdr:rowOff>
    </xdr:to>
    <xdr:pic>
      <xdr:nvPicPr>
        <xdr:cNvPr id="3" name="Picture 2">
          <a:extLst>
            <a:ext uri="{FF2B5EF4-FFF2-40B4-BE49-F238E27FC236}">
              <a16:creationId xmlns:a16="http://schemas.microsoft.com/office/drawing/2014/main" id="{3EA46EDF-2CCF-449B-AB04-39C5AF7D547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1" y="1752600"/>
          <a:ext cx="3152774" cy="21336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1</xdr:col>
      <xdr:colOff>304800</xdr:colOff>
      <xdr:row>5</xdr:row>
      <xdr:rowOff>114300</xdr:rowOff>
    </xdr:to>
    <xdr:sp macro="" textlink="">
      <xdr:nvSpPr>
        <xdr:cNvPr id="2" name="AutoShape 1" descr="https://upload.wikimedia.org/wikipedia/commons/thumb/5/58/Hash_table_4_1_1_0_0_1_0_LL.svg/240px-Hash_table_4_1_1_0_0_1_0_LL.svg.png">
          <a:extLst>
            <a:ext uri="{FF2B5EF4-FFF2-40B4-BE49-F238E27FC236}">
              <a16:creationId xmlns:a16="http://schemas.microsoft.com/office/drawing/2014/main" id="{AC702D72-77AB-42DD-958C-21324C33115B}"/>
            </a:ext>
          </a:extLst>
        </xdr:cNvPr>
        <xdr:cNvSpPr>
          <a:spLocks noChangeAspect="1" noChangeArrowheads="1"/>
        </xdr:cNvSpPr>
      </xdr:nvSpPr>
      <xdr:spPr bwMode="auto">
        <a:xfrm>
          <a:off x="20193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1752600</xdr:colOff>
      <xdr:row>3</xdr:row>
      <xdr:rowOff>47625</xdr:rowOff>
    </xdr:from>
    <xdr:to>
      <xdr:col>1</xdr:col>
      <xdr:colOff>5324475</xdr:colOff>
      <xdr:row>16</xdr:row>
      <xdr:rowOff>161925</xdr:rowOff>
    </xdr:to>
    <xdr:pic>
      <xdr:nvPicPr>
        <xdr:cNvPr id="5" name="Picture 4">
          <a:extLst>
            <a:ext uri="{FF2B5EF4-FFF2-40B4-BE49-F238E27FC236}">
              <a16:creationId xmlns:a16="http://schemas.microsoft.com/office/drawing/2014/main" id="{99E159A1-4B2D-4B10-92D0-DD874BFE3D7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771900" y="1095375"/>
          <a:ext cx="3571875" cy="25908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600075</xdr:colOff>
      <xdr:row>14</xdr:row>
      <xdr:rowOff>9525</xdr:rowOff>
    </xdr:from>
    <xdr:to>
      <xdr:col>5</xdr:col>
      <xdr:colOff>38100</xdr:colOff>
      <xdr:row>15</xdr:row>
      <xdr:rowOff>0</xdr:rowOff>
    </xdr:to>
    <xdr:sp macro="[0]!MineBasic" textlink="">
      <xdr:nvSpPr>
        <xdr:cNvPr id="2" name="TextBox 1">
          <a:extLst>
            <a:ext uri="{FF2B5EF4-FFF2-40B4-BE49-F238E27FC236}">
              <a16:creationId xmlns:a16="http://schemas.microsoft.com/office/drawing/2014/main" id="{D0535175-FA26-40F7-A089-F9DFA48B45A8}"/>
            </a:ext>
          </a:extLst>
        </xdr:cNvPr>
        <xdr:cNvSpPr txBox="1"/>
      </xdr:nvSpPr>
      <xdr:spPr>
        <a:xfrm>
          <a:off x="2428875" y="2295525"/>
          <a:ext cx="952500" cy="180975"/>
        </a:xfrm>
        <a:prstGeom prst="rect">
          <a:avLst/>
        </a:prstGeom>
        <a:solidFill>
          <a:srgbClr val="C00000"/>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Mine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600075</xdr:colOff>
      <xdr:row>14</xdr:row>
      <xdr:rowOff>9525</xdr:rowOff>
    </xdr:from>
    <xdr:to>
      <xdr:col>2</xdr:col>
      <xdr:colOff>38100</xdr:colOff>
      <xdr:row>15</xdr:row>
      <xdr:rowOff>0</xdr:rowOff>
    </xdr:to>
    <xdr:sp macro="[0]!Mine0" textlink="">
      <xdr:nvSpPr>
        <xdr:cNvPr id="2" name="TextBox 1">
          <a:extLst>
            <a:ext uri="{FF2B5EF4-FFF2-40B4-BE49-F238E27FC236}">
              <a16:creationId xmlns:a16="http://schemas.microsoft.com/office/drawing/2014/main" id="{70045BD3-C3DA-44B9-BF7F-E8A6624987E4}"/>
            </a:ext>
          </a:extLst>
        </xdr:cNvPr>
        <xdr:cNvSpPr txBox="1"/>
      </xdr:nvSpPr>
      <xdr:spPr>
        <a:xfrm>
          <a:off x="457200" y="3362325"/>
          <a:ext cx="942975" cy="180975"/>
        </a:xfrm>
        <a:prstGeom prst="rect">
          <a:avLst/>
        </a:prstGeom>
        <a:solidFill>
          <a:srgbClr val="C00000"/>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Mine</a:t>
          </a:r>
        </a:p>
      </xdr:txBody>
    </xdr:sp>
    <xdr:clientData/>
  </xdr:twoCellAnchor>
  <xdr:twoCellAnchor>
    <xdr:from>
      <xdr:col>3</xdr:col>
      <xdr:colOff>600075</xdr:colOff>
      <xdr:row>14</xdr:row>
      <xdr:rowOff>9525</xdr:rowOff>
    </xdr:from>
    <xdr:to>
      <xdr:col>5</xdr:col>
      <xdr:colOff>38100</xdr:colOff>
      <xdr:row>15</xdr:row>
      <xdr:rowOff>0</xdr:rowOff>
    </xdr:to>
    <xdr:sp macro="[0]!Mine1" textlink="">
      <xdr:nvSpPr>
        <xdr:cNvPr id="3" name="TextBox 2">
          <a:extLst>
            <a:ext uri="{FF2B5EF4-FFF2-40B4-BE49-F238E27FC236}">
              <a16:creationId xmlns:a16="http://schemas.microsoft.com/office/drawing/2014/main" id="{4750C10A-D3A3-411B-B7C6-2BEC037AA4DE}"/>
            </a:ext>
          </a:extLst>
        </xdr:cNvPr>
        <xdr:cNvSpPr txBox="1"/>
      </xdr:nvSpPr>
      <xdr:spPr>
        <a:xfrm>
          <a:off x="5200650" y="3362325"/>
          <a:ext cx="952500" cy="180975"/>
        </a:xfrm>
        <a:prstGeom prst="rect">
          <a:avLst/>
        </a:prstGeom>
        <a:solidFill>
          <a:srgbClr val="C00000"/>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Mine</a:t>
          </a:r>
        </a:p>
      </xdr:txBody>
    </xdr:sp>
    <xdr:clientData/>
  </xdr:twoCellAnchor>
  <xdr:twoCellAnchor>
    <xdr:from>
      <xdr:col>6</xdr:col>
      <xdr:colOff>600075</xdr:colOff>
      <xdr:row>14</xdr:row>
      <xdr:rowOff>9525</xdr:rowOff>
    </xdr:from>
    <xdr:to>
      <xdr:col>8</xdr:col>
      <xdr:colOff>38100</xdr:colOff>
      <xdr:row>15</xdr:row>
      <xdr:rowOff>0</xdr:rowOff>
    </xdr:to>
    <xdr:sp macro="[0]!Mine2" textlink="">
      <xdr:nvSpPr>
        <xdr:cNvPr id="4" name="TextBox 3">
          <a:extLst>
            <a:ext uri="{FF2B5EF4-FFF2-40B4-BE49-F238E27FC236}">
              <a16:creationId xmlns:a16="http://schemas.microsoft.com/office/drawing/2014/main" id="{C099C928-406D-4DEC-9C69-8E1D38FD02BA}"/>
            </a:ext>
          </a:extLst>
        </xdr:cNvPr>
        <xdr:cNvSpPr txBox="1"/>
      </xdr:nvSpPr>
      <xdr:spPr>
        <a:xfrm>
          <a:off x="9953625" y="3362325"/>
          <a:ext cx="952500" cy="180975"/>
        </a:xfrm>
        <a:prstGeom prst="rect">
          <a:avLst/>
        </a:prstGeom>
        <a:solidFill>
          <a:srgbClr val="C00000"/>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Mine</a:t>
          </a:r>
        </a:p>
      </xdr:txBody>
    </xdr:sp>
    <xdr:clientData/>
  </xdr:twoCellAnchor>
  <xdr:twoCellAnchor>
    <xdr:from>
      <xdr:col>9</xdr:col>
      <xdr:colOff>600075</xdr:colOff>
      <xdr:row>14</xdr:row>
      <xdr:rowOff>9525</xdr:rowOff>
    </xdr:from>
    <xdr:to>
      <xdr:col>11</xdr:col>
      <xdr:colOff>38100</xdr:colOff>
      <xdr:row>15</xdr:row>
      <xdr:rowOff>0</xdr:rowOff>
    </xdr:to>
    <xdr:sp macro="[0]!Mine3" textlink="">
      <xdr:nvSpPr>
        <xdr:cNvPr id="5" name="TextBox 4">
          <a:extLst>
            <a:ext uri="{FF2B5EF4-FFF2-40B4-BE49-F238E27FC236}">
              <a16:creationId xmlns:a16="http://schemas.microsoft.com/office/drawing/2014/main" id="{45B4DBFB-A3AE-4742-9E34-FD9B98A3A965}"/>
            </a:ext>
          </a:extLst>
        </xdr:cNvPr>
        <xdr:cNvSpPr txBox="1"/>
      </xdr:nvSpPr>
      <xdr:spPr>
        <a:xfrm>
          <a:off x="14706600" y="3362325"/>
          <a:ext cx="952500" cy="180975"/>
        </a:xfrm>
        <a:prstGeom prst="rect">
          <a:avLst/>
        </a:prstGeom>
        <a:solidFill>
          <a:srgbClr val="C00000"/>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Mine</a:t>
          </a:r>
        </a:p>
      </xdr:txBody>
    </xdr:sp>
    <xdr:clientData/>
  </xdr:twoCellAnchor>
  <xdr:twoCellAnchor>
    <xdr:from>
      <xdr:col>12</xdr:col>
      <xdr:colOff>600075</xdr:colOff>
      <xdr:row>14</xdr:row>
      <xdr:rowOff>9525</xdr:rowOff>
    </xdr:from>
    <xdr:to>
      <xdr:col>14</xdr:col>
      <xdr:colOff>38100</xdr:colOff>
      <xdr:row>15</xdr:row>
      <xdr:rowOff>0</xdr:rowOff>
    </xdr:to>
    <xdr:sp macro="[0]!Mine4" textlink="">
      <xdr:nvSpPr>
        <xdr:cNvPr id="6" name="TextBox 5">
          <a:extLst>
            <a:ext uri="{FF2B5EF4-FFF2-40B4-BE49-F238E27FC236}">
              <a16:creationId xmlns:a16="http://schemas.microsoft.com/office/drawing/2014/main" id="{AE70BC0E-A76D-4526-9268-C4E662B2F1FC}"/>
            </a:ext>
          </a:extLst>
        </xdr:cNvPr>
        <xdr:cNvSpPr txBox="1"/>
      </xdr:nvSpPr>
      <xdr:spPr>
        <a:xfrm>
          <a:off x="19459575" y="3362325"/>
          <a:ext cx="952500" cy="180975"/>
        </a:xfrm>
        <a:prstGeom prst="rect">
          <a:avLst/>
        </a:prstGeom>
        <a:solidFill>
          <a:srgbClr val="C00000"/>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Mine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600075</xdr:colOff>
      <xdr:row>14</xdr:row>
      <xdr:rowOff>9525</xdr:rowOff>
    </xdr:from>
    <xdr:to>
      <xdr:col>2</xdr:col>
      <xdr:colOff>38100</xdr:colOff>
      <xdr:row>15</xdr:row>
      <xdr:rowOff>0</xdr:rowOff>
    </xdr:to>
    <xdr:sp macro="[0]!Mine0" textlink="">
      <xdr:nvSpPr>
        <xdr:cNvPr id="2" name="TextBox 1">
          <a:extLst>
            <a:ext uri="{FF2B5EF4-FFF2-40B4-BE49-F238E27FC236}">
              <a16:creationId xmlns:a16="http://schemas.microsoft.com/office/drawing/2014/main" id="{CBDD2A74-A6A6-43D6-99F7-61D9EC9B1163}"/>
            </a:ext>
          </a:extLst>
        </xdr:cNvPr>
        <xdr:cNvSpPr txBox="1"/>
      </xdr:nvSpPr>
      <xdr:spPr>
        <a:xfrm>
          <a:off x="4857750" y="2733675"/>
          <a:ext cx="942975" cy="180975"/>
        </a:xfrm>
        <a:prstGeom prst="rect">
          <a:avLst/>
        </a:prstGeom>
        <a:solidFill>
          <a:srgbClr val="C00000"/>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Mine</a:t>
          </a:r>
        </a:p>
      </xdr:txBody>
    </xdr:sp>
    <xdr:clientData/>
  </xdr:twoCellAnchor>
  <xdr:twoCellAnchor>
    <xdr:from>
      <xdr:col>3</xdr:col>
      <xdr:colOff>600075</xdr:colOff>
      <xdr:row>14</xdr:row>
      <xdr:rowOff>9525</xdr:rowOff>
    </xdr:from>
    <xdr:to>
      <xdr:col>5</xdr:col>
      <xdr:colOff>38100</xdr:colOff>
      <xdr:row>15</xdr:row>
      <xdr:rowOff>0</xdr:rowOff>
    </xdr:to>
    <xdr:sp macro="[0]!Mine1" textlink="">
      <xdr:nvSpPr>
        <xdr:cNvPr id="3" name="TextBox 2">
          <a:extLst>
            <a:ext uri="{FF2B5EF4-FFF2-40B4-BE49-F238E27FC236}">
              <a16:creationId xmlns:a16="http://schemas.microsoft.com/office/drawing/2014/main" id="{658DD3C2-5832-4E30-809C-DFA4D148C259}"/>
            </a:ext>
          </a:extLst>
        </xdr:cNvPr>
        <xdr:cNvSpPr txBox="1"/>
      </xdr:nvSpPr>
      <xdr:spPr>
        <a:xfrm>
          <a:off x="457200" y="3305175"/>
          <a:ext cx="942975" cy="180975"/>
        </a:xfrm>
        <a:prstGeom prst="rect">
          <a:avLst/>
        </a:prstGeom>
        <a:solidFill>
          <a:srgbClr val="C00000"/>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Mine</a:t>
          </a:r>
        </a:p>
      </xdr:txBody>
    </xdr:sp>
    <xdr:clientData/>
  </xdr:twoCellAnchor>
  <xdr:twoCellAnchor>
    <xdr:from>
      <xdr:col>6</xdr:col>
      <xdr:colOff>600075</xdr:colOff>
      <xdr:row>14</xdr:row>
      <xdr:rowOff>9525</xdr:rowOff>
    </xdr:from>
    <xdr:to>
      <xdr:col>8</xdr:col>
      <xdr:colOff>38100</xdr:colOff>
      <xdr:row>15</xdr:row>
      <xdr:rowOff>0</xdr:rowOff>
    </xdr:to>
    <xdr:sp macro="[0]!Mine2" textlink="">
      <xdr:nvSpPr>
        <xdr:cNvPr id="4" name="TextBox 3">
          <a:extLst>
            <a:ext uri="{FF2B5EF4-FFF2-40B4-BE49-F238E27FC236}">
              <a16:creationId xmlns:a16="http://schemas.microsoft.com/office/drawing/2014/main" id="{3097FA59-F207-44A1-89C5-EDAC788ECF6D}"/>
            </a:ext>
          </a:extLst>
        </xdr:cNvPr>
        <xdr:cNvSpPr txBox="1"/>
      </xdr:nvSpPr>
      <xdr:spPr>
        <a:xfrm>
          <a:off x="5200650" y="3305175"/>
          <a:ext cx="952500" cy="180975"/>
        </a:xfrm>
        <a:prstGeom prst="rect">
          <a:avLst/>
        </a:prstGeom>
        <a:solidFill>
          <a:srgbClr val="C00000"/>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Mine</a:t>
          </a:r>
        </a:p>
      </xdr:txBody>
    </xdr:sp>
    <xdr:clientData/>
  </xdr:twoCellAnchor>
  <xdr:twoCellAnchor>
    <xdr:from>
      <xdr:col>9</xdr:col>
      <xdr:colOff>600075</xdr:colOff>
      <xdr:row>14</xdr:row>
      <xdr:rowOff>9525</xdr:rowOff>
    </xdr:from>
    <xdr:to>
      <xdr:col>11</xdr:col>
      <xdr:colOff>38100</xdr:colOff>
      <xdr:row>15</xdr:row>
      <xdr:rowOff>0</xdr:rowOff>
    </xdr:to>
    <xdr:sp macro="[0]!Mine3" textlink="">
      <xdr:nvSpPr>
        <xdr:cNvPr id="5" name="TextBox 4">
          <a:extLst>
            <a:ext uri="{FF2B5EF4-FFF2-40B4-BE49-F238E27FC236}">
              <a16:creationId xmlns:a16="http://schemas.microsoft.com/office/drawing/2014/main" id="{82F3E8F5-A296-495E-BA9C-9BDC0D29F279}"/>
            </a:ext>
          </a:extLst>
        </xdr:cNvPr>
        <xdr:cNvSpPr txBox="1"/>
      </xdr:nvSpPr>
      <xdr:spPr>
        <a:xfrm>
          <a:off x="5200650" y="3305175"/>
          <a:ext cx="952500" cy="180975"/>
        </a:xfrm>
        <a:prstGeom prst="rect">
          <a:avLst/>
        </a:prstGeom>
        <a:solidFill>
          <a:srgbClr val="C00000"/>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Mine</a:t>
          </a:r>
        </a:p>
      </xdr:txBody>
    </xdr:sp>
    <xdr:clientData/>
  </xdr:twoCellAnchor>
  <xdr:twoCellAnchor>
    <xdr:from>
      <xdr:col>12</xdr:col>
      <xdr:colOff>600075</xdr:colOff>
      <xdr:row>14</xdr:row>
      <xdr:rowOff>9525</xdr:rowOff>
    </xdr:from>
    <xdr:to>
      <xdr:col>14</xdr:col>
      <xdr:colOff>38100</xdr:colOff>
      <xdr:row>15</xdr:row>
      <xdr:rowOff>0</xdr:rowOff>
    </xdr:to>
    <xdr:sp macro="[0]!Mine4" textlink="">
      <xdr:nvSpPr>
        <xdr:cNvPr id="6" name="TextBox 5">
          <a:extLst>
            <a:ext uri="{FF2B5EF4-FFF2-40B4-BE49-F238E27FC236}">
              <a16:creationId xmlns:a16="http://schemas.microsoft.com/office/drawing/2014/main" id="{22211ED3-90FD-4400-BA84-1E16D1AB44E3}"/>
            </a:ext>
          </a:extLst>
        </xdr:cNvPr>
        <xdr:cNvSpPr txBox="1"/>
      </xdr:nvSpPr>
      <xdr:spPr>
        <a:xfrm>
          <a:off x="5200650" y="3305175"/>
          <a:ext cx="952500" cy="180975"/>
        </a:xfrm>
        <a:prstGeom prst="rect">
          <a:avLst/>
        </a:prstGeom>
        <a:solidFill>
          <a:srgbClr val="C00000"/>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Mine</a:t>
          </a:r>
        </a:p>
      </xdr:txBody>
    </xdr:sp>
    <xdr:clientData/>
  </xdr:twoCellAnchor>
  <xdr:twoCellAnchor>
    <xdr:from>
      <xdr:col>0</xdr:col>
      <xdr:colOff>600075</xdr:colOff>
      <xdr:row>30</xdr:row>
      <xdr:rowOff>9525</xdr:rowOff>
    </xdr:from>
    <xdr:to>
      <xdr:col>2</xdr:col>
      <xdr:colOff>38100</xdr:colOff>
      <xdr:row>31</xdr:row>
      <xdr:rowOff>0</xdr:rowOff>
    </xdr:to>
    <xdr:sp macro="[0]!Mine0P2" textlink="">
      <xdr:nvSpPr>
        <xdr:cNvPr id="7" name="TextBox 6">
          <a:extLst>
            <a:ext uri="{FF2B5EF4-FFF2-40B4-BE49-F238E27FC236}">
              <a16:creationId xmlns:a16="http://schemas.microsoft.com/office/drawing/2014/main" id="{8ED24601-209A-4DA2-B8BC-CE452AA1985B}"/>
            </a:ext>
          </a:extLst>
        </xdr:cNvPr>
        <xdr:cNvSpPr txBox="1"/>
      </xdr:nvSpPr>
      <xdr:spPr>
        <a:xfrm>
          <a:off x="457200" y="3305175"/>
          <a:ext cx="942975" cy="180975"/>
        </a:xfrm>
        <a:prstGeom prst="rect">
          <a:avLst/>
        </a:prstGeom>
        <a:solidFill>
          <a:srgbClr val="C00000"/>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Mine</a:t>
          </a:r>
        </a:p>
      </xdr:txBody>
    </xdr:sp>
    <xdr:clientData/>
  </xdr:twoCellAnchor>
  <xdr:twoCellAnchor>
    <xdr:from>
      <xdr:col>3</xdr:col>
      <xdr:colOff>600075</xdr:colOff>
      <xdr:row>30</xdr:row>
      <xdr:rowOff>9525</xdr:rowOff>
    </xdr:from>
    <xdr:to>
      <xdr:col>5</xdr:col>
      <xdr:colOff>38100</xdr:colOff>
      <xdr:row>31</xdr:row>
      <xdr:rowOff>0</xdr:rowOff>
    </xdr:to>
    <xdr:sp macro="[0]!Mine1P2" textlink="">
      <xdr:nvSpPr>
        <xdr:cNvPr id="8" name="TextBox 7">
          <a:extLst>
            <a:ext uri="{FF2B5EF4-FFF2-40B4-BE49-F238E27FC236}">
              <a16:creationId xmlns:a16="http://schemas.microsoft.com/office/drawing/2014/main" id="{D1F6CC5F-8E74-4C04-804B-36F90A6BE53F}"/>
            </a:ext>
          </a:extLst>
        </xdr:cNvPr>
        <xdr:cNvSpPr txBox="1"/>
      </xdr:nvSpPr>
      <xdr:spPr>
        <a:xfrm>
          <a:off x="5200650" y="3305175"/>
          <a:ext cx="952500" cy="180975"/>
        </a:xfrm>
        <a:prstGeom prst="rect">
          <a:avLst/>
        </a:prstGeom>
        <a:solidFill>
          <a:srgbClr val="C00000"/>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Mine</a:t>
          </a:r>
        </a:p>
      </xdr:txBody>
    </xdr:sp>
    <xdr:clientData/>
  </xdr:twoCellAnchor>
  <xdr:twoCellAnchor>
    <xdr:from>
      <xdr:col>6</xdr:col>
      <xdr:colOff>600075</xdr:colOff>
      <xdr:row>30</xdr:row>
      <xdr:rowOff>9525</xdr:rowOff>
    </xdr:from>
    <xdr:to>
      <xdr:col>8</xdr:col>
      <xdr:colOff>38100</xdr:colOff>
      <xdr:row>31</xdr:row>
      <xdr:rowOff>0</xdr:rowOff>
    </xdr:to>
    <xdr:sp macro="[0]!Mine2P2" textlink="">
      <xdr:nvSpPr>
        <xdr:cNvPr id="9" name="TextBox 8">
          <a:extLst>
            <a:ext uri="{FF2B5EF4-FFF2-40B4-BE49-F238E27FC236}">
              <a16:creationId xmlns:a16="http://schemas.microsoft.com/office/drawing/2014/main" id="{9FDC29E7-A6EA-40C2-B4D9-69EE0D19241D}"/>
            </a:ext>
          </a:extLst>
        </xdr:cNvPr>
        <xdr:cNvSpPr txBox="1"/>
      </xdr:nvSpPr>
      <xdr:spPr>
        <a:xfrm>
          <a:off x="9953625" y="3305175"/>
          <a:ext cx="952500" cy="180975"/>
        </a:xfrm>
        <a:prstGeom prst="rect">
          <a:avLst/>
        </a:prstGeom>
        <a:solidFill>
          <a:srgbClr val="C00000"/>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Mine</a:t>
          </a:r>
        </a:p>
      </xdr:txBody>
    </xdr:sp>
    <xdr:clientData/>
  </xdr:twoCellAnchor>
  <xdr:twoCellAnchor>
    <xdr:from>
      <xdr:col>9</xdr:col>
      <xdr:colOff>600075</xdr:colOff>
      <xdr:row>30</xdr:row>
      <xdr:rowOff>9525</xdr:rowOff>
    </xdr:from>
    <xdr:to>
      <xdr:col>11</xdr:col>
      <xdr:colOff>38100</xdr:colOff>
      <xdr:row>31</xdr:row>
      <xdr:rowOff>0</xdr:rowOff>
    </xdr:to>
    <xdr:sp macro="[0]!Mine3P2" textlink="">
      <xdr:nvSpPr>
        <xdr:cNvPr id="10" name="TextBox 9">
          <a:extLst>
            <a:ext uri="{FF2B5EF4-FFF2-40B4-BE49-F238E27FC236}">
              <a16:creationId xmlns:a16="http://schemas.microsoft.com/office/drawing/2014/main" id="{82F98C20-B4EA-4DBB-9BC3-250CEC999F9A}"/>
            </a:ext>
          </a:extLst>
        </xdr:cNvPr>
        <xdr:cNvSpPr txBox="1"/>
      </xdr:nvSpPr>
      <xdr:spPr>
        <a:xfrm>
          <a:off x="14706600" y="3305175"/>
          <a:ext cx="952500" cy="180975"/>
        </a:xfrm>
        <a:prstGeom prst="rect">
          <a:avLst/>
        </a:prstGeom>
        <a:solidFill>
          <a:srgbClr val="C00000"/>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Mine</a:t>
          </a:r>
        </a:p>
      </xdr:txBody>
    </xdr:sp>
    <xdr:clientData/>
  </xdr:twoCellAnchor>
  <xdr:twoCellAnchor>
    <xdr:from>
      <xdr:col>12</xdr:col>
      <xdr:colOff>600075</xdr:colOff>
      <xdr:row>30</xdr:row>
      <xdr:rowOff>9525</xdr:rowOff>
    </xdr:from>
    <xdr:to>
      <xdr:col>14</xdr:col>
      <xdr:colOff>38100</xdr:colOff>
      <xdr:row>31</xdr:row>
      <xdr:rowOff>0</xdr:rowOff>
    </xdr:to>
    <xdr:sp macro="[0]!Mine4P2" textlink="">
      <xdr:nvSpPr>
        <xdr:cNvPr id="11" name="TextBox 10">
          <a:extLst>
            <a:ext uri="{FF2B5EF4-FFF2-40B4-BE49-F238E27FC236}">
              <a16:creationId xmlns:a16="http://schemas.microsoft.com/office/drawing/2014/main" id="{B01BB87B-EFFA-4132-A6E7-AA71F6714D04}"/>
            </a:ext>
          </a:extLst>
        </xdr:cNvPr>
        <xdr:cNvSpPr txBox="1"/>
      </xdr:nvSpPr>
      <xdr:spPr>
        <a:xfrm>
          <a:off x="19459575" y="3305175"/>
          <a:ext cx="952500" cy="180975"/>
        </a:xfrm>
        <a:prstGeom prst="rect">
          <a:avLst/>
        </a:prstGeom>
        <a:solidFill>
          <a:srgbClr val="C00000"/>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Mine</a:t>
          </a:r>
        </a:p>
      </xdr:txBody>
    </xdr:sp>
    <xdr:clientData/>
  </xdr:twoCellAnchor>
  <xdr:twoCellAnchor>
    <xdr:from>
      <xdr:col>0</xdr:col>
      <xdr:colOff>600075</xdr:colOff>
      <xdr:row>46</xdr:row>
      <xdr:rowOff>9525</xdr:rowOff>
    </xdr:from>
    <xdr:to>
      <xdr:col>2</xdr:col>
      <xdr:colOff>38100</xdr:colOff>
      <xdr:row>47</xdr:row>
      <xdr:rowOff>0</xdr:rowOff>
    </xdr:to>
    <xdr:sp macro="[0]!Mine0P3" textlink="">
      <xdr:nvSpPr>
        <xdr:cNvPr id="17" name="TextBox 16">
          <a:extLst>
            <a:ext uri="{FF2B5EF4-FFF2-40B4-BE49-F238E27FC236}">
              <a16:creationId xmlns:a16="http://schemas.microsoft.com/office/drawing/2014/main" id="{5BD8CC93-947B-40E9-8EAB-95B62394F3DC}"/>
            </a:ext>
          </a:extLst>
        </xdr:cNvPr>
        <xdr:cNvSpPr txBox="1"/>
      </xdr:nvSpPr>
      <xdr:spPr>
        <a:xfrm>
          <a:off x="457200" y="7048500"/>
          <a:ext cx="942975" cy="180975"/>
        </a:xfrm>
        <a:prstGeom prst="rect">
          <a:avLst/>
        </a:prstGeom>
        <a:solidFill>
          <a:srgbClr val="C00000"/>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Mine</a:t>
          </a:r>
        </a:p>
      </xdr:txBody>
    </xdr:sp>
    <xdr:clientData/>
  </xdr:twoCellAnchor>
  <xdr:twoCellAnchor>
    <xdr:from>
      <xdr:col>3</xdr:col>
      <xdr:colOff>600075</xdr:colOff>
      <xdr:row>46</xdr:row>
      <xdr:rowOff>9525</xdr:rowOff>
    </xdr:from>
    <xdr:to>
      <xdr:col>5</xdr:col>
      <xdr:colOff>38100</xdr:colOff>
      <xdr:row>47</xdr:row>
      <xdr:rowOff>0</xdr:rowOff>
    </xdr:to>
    <xdr:sp macro="[0]!Mine1P3" textlink="">
      <xdr:nvSpPr>
        <xdr:cNvPr id="18" name="TextBox 17">
          <a:extLst>
            <a:ext uri="{FF2B5EF4-FFF2-40B4-BE49-F238E27FC236}">
              <a16:creationId xmlns:a16="http://schemas.microsoft.com/office/drawing/2014/main" id="{CA869183-DAE4-4BFE-B1AF-E5199E9F5C7D}"/>
            </a:ext>
          </a:extLst>
        </xdr:cNvPr>
        <xdr:cNvSpPr txBox="1"/>
      </xdr:nvSpPr>
      <xdr:spPr>
        <a:xfrm>
          <a:off x="5200650" y="7048500"/>
          <a:ext cx="952500" cy="180975"/>
        </a:xfrm>
        <a:prstGeom prst="rect">
          <a:avLst/>
        </a:prstGeom>
        <a:solidFill>
          <a:srgbClr val="C00000"/>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Mine</a:t>
          </a:r>
        </a:p>
      </xdr:txBody>
    </xdr:sp>
    <xdr:clientData/>
  </xdr:twoCellAnchor>
  <xdr:twoCellAnchor>
    <xdr:from>
      <xdr:col>6</xdr:col>
      <xdr:colOff>600075</xdr:colOff>
      <xdr:row>46</xdr:row>
      <xdr:rowOff>9525</xdr:rowOff>
    </xdr:from>
    <xdr:to>
      <xdr:col>8</xdr:col>
      <xdr:colOff>38100</xdr:colOff>
      <xdr:row>47</xdr:row>
      <xdr:rowOff>0</xdr:rowOff>
    </xdr:to>
    <xdr:sp macro="[0]!Mine2P3" textlink="">
      <xdr:nvSpPr>
        <xdr:cNvPr id="19" name="TextBox 18">
          <a:extLst>
            <a:ext uri="{FF2B5EF4-FFF2-40B4-BE49-F238E27FC236}">
              <a16:creationId xmlns:a16="http://schemas.microsoft.com/office/drawing/2014/main" id="{36CF6E2C-0849-48E7-834A-D92054345315}"/>
            </a:ext>
          </a:extLst>
        </xdr:cNvPr>
        <xdr:cNvSpPr txBox="1"/>
      </xdr:nvSpPr>
      <xdr:spPr>
        <a:xfrm>
          <a:off x="9953625" y="7048500"/>
          <a:ext cx="952500" cy="180975"/>
        </a:xfrm>
        <a:prstGeom prst="rect">
          <a:avLst/>
        </a:prstGeom>
        <a:solidFill>
          <a:srgbClr val="C00000"/>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Mine</a:t>
          </a:r>
        </a:p>
      </xdr:txBody>
    </xdr:sp>
    <xdr:clientData/>
  </xdr:twoCellAnchor>
  <xdr:twoCellAnchor>
    <xdr:from>
      <xdr:col>9</xdr:col>
      <xdr:colOff>600075</xdr:colOff>
      <xdr:row>46</xdr:row>
      <xdr:rowOff>9525</xdr:rowOff>
    </xdr:from>
    <xdr:to>
      <xdr:col>11</xdr:col>
      <xdr:colOff>38100</xdr:colOff>
      <xdr:row>47</xdr:row>
      <xdr:rowOff>0</xdr:rowOff>
    </xdr:to>
    <xdr:sp macro="[0]!Mine3P3" textlink="">
      <xdr:nvSpPr>
        <xdr:cNvPr id="20" name="TextBox 19">
          <a:extLst>
            <a:ext uri="{FF2B5EF4-FFF2-40B4-BE49-F238E27FC236}">
              <a16:creationId xmlns:a16="http://schemas.microsoft.com/office/drawing/2014/main" id="{2390B887-19D5-4825-AAC2-FB39E914D415}"/>
            </a:ext>
          </a:extLst>
        </xdr:cNvPr>
        <xdr:cNvSpPr txBox="1"/>
      </xdr:nvSpPr>
      <xdr:spPr>
        <a:xfrm>
          <a:off x="14706600" y="7048500"/>
          <a:ext cx="952500" cy="180975"/>
        </a:xfrm>
        <a:prstGeom prst="rect">
          <a:avLst/>
        </a:prstGeom>
        <a:solidFill>
          <a:srgbClr val="C00000"/>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Mine</a:t>
          </a:r>
        </a:p>
      </xdr:txBody>
    </xdr:sp>
    <xdr:clientData/>
  </xdr:twoCellAnchor>
  <xdr:twoCellAnchor>
    <xdr:from>
      <xdr:col>12</xdr:col>
      <xdr:colOff>600075</xdr:colOff>
      <xdr:row>46</xdr:row>
      <xdr:rowOff>9525</xdr:rowOff>
    </xdr:from>
    <xdr:to>
      <xdr:col>14</xdr:col>
      <xdr:colOff>38100</xdr:colOff>
      <xdr:row>47</xdr:row>
      <xdr:rowOff>0</xdr:rowOff>
    </xdr:to>
    <xdr:sp macro="[0]!Mine4P3" textlink="">
      <xdr:nvSpPr>
        <xdr:cNvPr id="21" name="TextBox 20">
          <a:extLst>
            <a:ext uri="{FF2B5EF4-FFF2-40B4-BE49-F238E27FC236}">
              <a16:creationId xmlns:a16="http://schemas.microsoft.com/office/drawing/2014/main" id="{E8EBF5CC-FD4A-45D2-8168-06FFEFE30DBD}"/>
            </a:ext>
          </a:extLst>
        </xdr:cNvPr>
        <xdr:cNvSpPr txBox="1"/>
      </xdr:nvSpPr>
      <xdr:spPr>
        <a:xfrm>
          <a:off x="19459575" y="7048500"/>
          <a:ext cx="952500" cy="180975"/>
        </a:xfrm>
        <a:prstGeom prst="rect">
          <a:avLst/>
        </a:prstGeom>
        <a:solidFill>
          <a:srgbClr val="C00000"/>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Mine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600075</xdr:colOff>
      <xdr:row>14</xdr:row>
      <xdr:rowOff>9525</xdr:rowOff>
    </xdr:from>
    <xdr:to>
      <xdr:col>2</xdr:col>
      <xdr:colOff>38100</xdr:colOff>
      <xdr:row>15</xdr:row>
      <xdr:rowOff>0</xdr:rowOff>
    </xdr:to>
    <xdr:sp macro="[0]!Mine0" textlink="">
      <xdr:nvSpPr>
        <xdr:cNvPr id="2" name="TextBox 1">
          <a:extLst>
            <a:ext uri="{FF2B5EF4-FFF2-40B4-BE49-F238E27FC236}">
              <a16:creationId xmlns:a16="http://schemas.microsoft.com/office/drawing/2014/main" id="{879A7B4B-C7F1-4317-BE52-196B12DD9611}"/>
            </a:ext>
          </a:extLst>
        </xdr:cNvPr>
        <xdr:cNvSpPr txBox="1"/>
      </xdr:nvSpPr>
      <xdr:spPr>
        <a:xfrm>
          <a:off x="457200" y="3362325"/>
          <a:ext cx="942975" cy="180975"/>
        </a:xfrm>
        <a:prstGeom prst="rect">
          <a:avLst/>
        </a:prstGeom>
        <a:solidFill>
          <a:srgbClr val="C00000"/>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Mine</a:t>
          </a:r>
        </a:p>
      </xdr:txBody>
    </xdr:sp>
    <xdr:clientData/>
  </xdr:twoCellAnchor>
  <xdr:twoCellAnchor>
    <xdr:from>
      <xdr:col>3</xdr:col>
      <xdr:colOff>600075</xdr:colOff>
      <xdr:row>14</xdr:row>
      <xdr:rowOff>9525</xdr:rowOff>
    </xdr:from>
    <xdr:to>
      <xdr:col>5</xdr:col>
      <xdr:colOff>38100</xdr:colOff>
      <xdr:row>15</xdr:row>
      <xdr:rowOff>0</xdr:rowOff>
    </xdr:to>
    <xdr:sp macro="[0]!Mine1" textlink="">
      <xdr:nvSpPr>
        <xdr:cNvPr id="3" name="TextBox 2">
          <a:extLst>
            <a:ext uri="{FF2B5EF4-FFF2-40B4-BE49-F238E27FC236}">
              <a16:creationId xmlns:a16="http://schemas.microsoft.com/office/drawing/2014/main" id="{A2C1B339-FA60-4BF2-AE00-33194861A591}"/>
            </a:ext>
          </a:extLst>
        </xdr:cNvPr>
        <xdr:cNvSpPr txBox="1"/>
      </xdr:nvSpPr>
      <xdr:spPr>
        <a:xfrm>
          <a:off x="5200650" y="3362325"/>
          <a:ext cx="952500" cy="180975"/>
        </a:xfrm>
        <a:prstGeom prst="rect">
          <a:avLst/>
        </a:prstGeom>
        <a:solidFill>
          <a:srgbClr val="C00000"/>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Mine</a:t>
          </a:r>
        </a:p>
      </xdr:txBody>
    </xdr:sp>
    <xdr:clientData/>
  </xdr:twoCellAnchor>
  <xdr:twoCellAnchor>
    <xdr:from>
      <xdr:col>6</xdr:col>
      <xdr:colOff>600075</xdr:colOff>
      <xdr:row>14</xdr:row>
      <xdr:rowOff>9525</xdr:rowOff>
    </xdr:from>
    <xdr:to>
      <xdr:col>8</xdr:col>
      <xdr:colOff>38100</xdr:colOff>
      <xdr:row>15</xdr:row>
      <xdr:rowOff>0</xdr:rowOff>
    </xdr:to>
    <xdr:sp macro="[0]!Mine2" textlink="">
      <xdr:nvSpPr>
        <xdr:cNvPr id="4" name="TextBox 3">
          <a:extLst>
            <a:ext uri="{FF2B5EF4-FFF2-40B4-BE49-F238E27FC236}">
              <a16:creationId xmlns:a16="http://schemas.microsoft.com/office/drawing/2014/main" id="{A57151E0-032E-4110-AE66-2659ED7014B7}"/>
            </a:ext>
          </a:extLst>
        </xdr:cNvPr>
        <xdr:cNvSpPr txBox="1"/>
      </xdr:nvSpPr>
      <xdr:spPr>
        <a:xfrm>
          <a:off x="9953625" y="3362325"/>
          <a:ext cx="952500" cy="180975"/>
        </a:xfrm>
        <a:prstGeom prst="rect">
          <a:avLst/>
        </a:prstGeom>
        <a:solidFill>
          <a:srgbClr val="C00000"/>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Mine</a:t>
          </a:r>
        </a:p>
      </xdr:txBody>
    </xdr:sp>
    <xdr:clientData/>
  </xdr:twoCellAnchor>
  <xdr:twoCellAnchor>
    <xdr:from>
      <xdr:col>9</xdr:col>
      <xdr:colOff>600075</xdr:colOff>
      <xdr:row>14</xdr:row>
      <xdr:rowOff>9525</xdr:rowOff>
    </xdr:from>
    <xdr:to>
      <xdr:col>11</xdr:col>
      <xdr:colOff>38100</xdr:colOff>
      <xdr:row>15</xdr:row>
      <xdr:rowOff>0</xdr:rowOff>
    </xdr:to>
    <xdr:sp macro="[0]!Mine3" textlink="">
      <xdr:nvSpPr>
        <xdr:cNvPr id="5" name="TextBox 4">
          <a:extLst>
            <a:ext uri="{FF2B5EF4-FFF2-40B4-BE49-F238E27FC236}">
              <a16:creationId xmlns:a16="http://schemas.microsoft.com/office/drawing/2014/main" id="{A5DEBAF4-3757-481C-81F8-DDB46B9E7681}"/>
            </a:ext>
          </a:extLst>
        </xdr:cNvPr>
        <xdr:cNvSpPr txBox="1"/>
      </xdr:nvSpPr>
      <xdr:spPr>
        <a:xfrm>
          <a:off x="14706600" y="3362325"/>
          <a:ext cx="952500" cy="180975"/>
        </a:xfrm>
        <a:prstGeom prst="rect">
          <a:avLst/>
        </a:prstGeom>
        <a:solidFill>
          <a:srgbClr val="C00000"/>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Mine</a:t>
          </a:r>
        </a:p>
      </xdr:txBody>
    </xdr:sp>
    <xdr:clientData/>
  </xdr:twoCellAnchor>
  <xdr:twoCellAnchor>
    <xdr:from>
      <xdr:col>12</xdr:col>
      <xdr:colOff>600075</xdr:colOff>
      <xdr:row>14</xdr:row>
      <xdr:rowOff>9525</xdr:rowOff>
    </xdr:from>
    <xdr:to>
      <xdr:col>14</xdr:col>
      <xdr:colOff>38100</xdr:colOff>
      <xdr:row>15</xdr:row>
      <xdr:rowOff>0</xdr:rowOff>
    </xdr:to>
    <xdr:sp macro="[0]!Mine4" textlink="">
      <xdr:nvSpPr>
        <xdr:cNvPr id="6" name="TextBox 5">
          <a:extLst>
            <a:ext uri="{FF2B5EF4-FFF2-40B4-BE49-F238E27FC236}">
              <a16:creationId xmlns:a16="http://schemas.microsoft.com/office/drawing/2014/main" id="{F5722F77-DE81-49CF-AF5C-8524973A26F9}"/>
            </a:ext>
          </a:extLst>
        </xdr:cNvPr>
        <xdr:cNvSpPr txBox="1"/>
      </xdr:nvSpPr>
      <xdr:spPr>
        <a:xfrm>
          <a:off x="19459575" y="3362325"/>
          <a:ext cx="952500" cy="180975"/>
        </a:xfrm>
        <a:prstGeom prst="rect">
          <a:avLst/>
        </a:prstGeom>
        <a:solidFill>
          <a:srgbClr val="C00000"/>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Mine</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28575</xdr:colOff>
      <xdr:row>1</xdr:row>
      <xdr:rowOff>47625</xdr:rowOff>
    </xdr:from>
    <xdr:to>
      <xdr:col>15</xdr:col>
      <xdr:colOff>333375</xdr:colOff>
      <xdr:row>23</xdr:row>
      <xdr:rowOff>85725</xdr:rowOff>
    </xdr:to>
    <xdr:pic>
      <xdr:nvPicPr>
        <xdr:cNvPr id="3" name="Picture 2">
          <a:extLst>
            <a:ext uri="{FF2B5EF4-FFF2-40B4-BE49-F238E27FC236}">
              <a16:creationId xmlns:a16="http://schemas.microsoft.com/office/drawing/2014/main" id="{E0081D79-5549-4A46-BDE9-F75CABCEC06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57375" y="238125"/>
          <a:ext cx="7620000" cy="4229100"/>
        </a:xfrm>
        <a:prstGeom prst="rect">
          <a:avLst/>
        </a:prstGeom>
      </xdr:spPr>
    </xdr:pic>
    <xdr:clientData/>
  </xdr:twoCellAnchor>
  <xdr:twoCellAnchor editAs="oneCell">
    <xdr:from>
      <xdr:col>3</xdr:col>
      <xdr:colOff>0</xdr:colOff>
      <xdr:row>28</xdr:row>
      <xdr:rowOff>66675</xdr:rowOff>
    </xdr:from>
    <xdr:to>
      <xdr:col>7</xdr:col>
      <xdr:colOff>171450</xdr:colOff>
      <xdr:row>37</xdr:row>
      <xdr:rowOff>104775</xdr:rowOff>
    </xdr:to>
    <xdr:pic>
      <xdr:nvPicPr>
        <xdr:cNvPr id="5" name="Picture 4">
          <a:extLst>
            <a:ext uri="{FF2B5EF4-FFF2-40B4-BE49-F238E27FC236}">
              <a16:creationId xmlns:a16="http://schemas.microsoft.com/office/drawing/2014/main" id="{54B445EB-86C5-4E98-9638-CABDD49DB84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28800" y="5438775"/>
          <a:ext cx="2609850" cy="1752600"/>
        </a:xfrm>
        <a:prstGeom prst="rect">
          <a:avLst/>
        </a:prstGeom>
      </xdr:spPr>
    </xdr:pic>
    <xdr:clientData/>
  </xdr:twoCellAnchor>
  <xdr:twoCellAnchor editAs="oneCell">
    <xdr:from>
      <xdr:col>7</xdr:col>
      <xdr:colOff>409575</xdr:colOff>
      <xdr:row>28</xdr:row>
      <xdr:rowOff>66674</xdr:rowOff>
    </xdr:from>
    <xdr:to>
      <xdr:col>12</xdr:col>
      <xdr:colOff>219075</xdr:colOff>
      <xdr:row>37</xdr:row>
      <xdr:rowOff>95249</xdr:rowOff>
    </xdr:to>
    <xdr:pic>
      <xdr:nvPicPr>
        <xdr:cNvPr id="7" name="Picture 6">
          <a:extLst>
            <a:ext uri="{FF2B5EF4-FFF2-40B4-BE49-F238E27FC236}">
              <a16:creationId xmlns:a16="http://schemas.microsoft.com/office/drawing/2014/main" id="{CBED7C1B-1D20-44B0-A8FD-FD18FCE6B2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676775" y="5438774"/>
          <a:ext cx="2857500" cy="17430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https://www.youtube.com/channel/UCx7YSpyYtgaYik1Wen9jYSA" TargetMode="External"/><Relationship Id="rId1" Type="http://schemas.openxmlformats.org/officeDocument/2006/relationships/hyperlink" Target="https://www.youtube.com/watch?v=_160oMzblY8&amp;vl=en"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D3:F9"/>
  <sheetViews>
    <sheetView showGridLines="0" tabSelected="1" workbookViewId="0"/>
  </sheetViews>
  <sheetFormatPr defaultRowHeight="15" x14ac:dyDescent="0.25"/>
  <cols>
    <col min="4" max="4" width="86.85546875" customWidth="1"/>
    <col min="6" max="6" width="28.28515625" customWidth="1"/>
    <col min="11" max="11" width="19" bestFit="1" customWidth="1"/>
  </cols>
  <sheetData>
    <row r="3" spans="4:6" ht="18.75" x14ac:dyDescent="0.3">
      <c r="D3" s="51" t="s">
        <v>65</v>
      </c>
      <c r="E3" s="11"/>
      <c r="F3" s="11"/>
    </row>
    <row r="4" spans="4:6" ht="150" x14ac:dyDescent="0.3">
      <c r="D4" s="52" t="s">
        <v>67</v>
      </c>
      <c r="E4" s="11" t="s">
        <v>60</v>
      </c>
      <c r="F4" s="54" t="s">
        <v>66</v>
      </c>
    </row>
    <row r="6" spans="4:6" ht="18.75" x14ac:dyDescent="0.3">
      <c r="D6" s="50" t="s">
        <v>64</v>
      </c>
      <c r="E6" s="11"/>
      <c r="F6" s="11"/>
    </row>
    <row r="7" spans="4:6" x14ac:dyDescent="0.25">
      <c r="D7" s="49" t="s">
        <v>59</v>
      </c>
      <c r="E7" s="11" t="s">
        <v>60</v>
      </c>
      <c r="F7" s="49" t="s">
        <v>61</v>
      </c>
    </row>
    <row r="8" spans="4:6" x14ac:dyDescent="0.25">
      <c r="D8" s="11" t="s">
        <v>62</v>
      </c>
      <c r="E8" s="11"/>
      <c r="F8" s="11"/>
    </row>
    <row r="9" spans="4:6" x14ac:dyDescent="0.25">
      <c r="D9" s="11" t="s">
        <v>63</v>
      </c>
      <c r="E9" s="11"/>
      <c r="F9" s="11"/>
    </row>
  </sheetData>
  <hyperlinks>
    <hyperlink ref="D7" r:id="rId1"/>
    <hyperlink ref="F7" r:id="rId2" display="https://www.youtube.com/channel/UCx7YSpyYtgaYik1Wen9jYS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7"/>
  <sheetViews>
    <sheetView showGridLines="0" workbookViewId="0"/>
  </sheetViews>
  <sheetFormatPr defaultRowHeight="15" x14ac:dyDescent="0.25"/>
  <cols>
    <col min="1" max="1" width="30.28515625" bestFit="1" customWidth="1"/>
    <col min="2" max="2" width="129.85546875" customWidth="1"/>
  </cols>
  <sheetData>
    <row r="1" spans="1:2" ht="19.5" thickBot="1" x14ac:dyDescent="0.35">
      <c r="B1" s="37" t="s">
        <v>33</v>
      </c>
    </row>
    <row r="4" spans="1:2" ht="15.75" thickBot="1" x14ac:dyDescent="0.3"/>
    <row r="5" spans="1:2" ht="70.5" thickBot="1" x14ac:dyDescent="0.4">
      <c r="A5" s="38" t="s">
        <v>32</v>
      </c>
      <c r="B5" s="39" t="s">
        <v>34</v>
      </c>
    </row>
    <row r="16" spans="1:2" ht="15.75" thickBot="1" x14ac:dyDescent="0.3"/>
    <row r="17" spans="2:2" ht="15.75" thickBot="1" x14ac:dyDescent="0.3">
      <c r="B17" s="40" t="s">
        <v>35</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G12"/>
  <sheetViews>
    <sheetView showGridLines="0" workbookViewId="0"/>
  </sheetViews>
  <sheetFormatPr defaultRowHeight="15" x14ac:dyDescent="0.25"/>
  <cols>
    <col min="1" max="1" width="14" customWidth="1"/>
    <col min="5" max="5" width="13.28515625" bestFit="1" customWidth="1"/>
    <col min="6" max="6" width="16.28515625" bestFit="1" customWidth="1"/>
  </cols>
  <sheetData>
    <row r="2" spans="1:7" ht="21" x14ac:dyDescent="0.35">
      <c r="A2" s="44" t="s">
        <v>8</v>
      </c>
      <c r="B2" s="44"/>
      <c r="C2" s="44">
        <v>5</v>
      </c>
      <c r="D2" s="45"/>
      <c r="E2" s="44" t="s">
        <v>9</v>
      </c>
      <c r="F2" s="44"/>
    </row>
    <row r="3" spans="1:7" s="2" customFormat="1" x14ac:dyDescent="0.25">
      <c r="A3" s="48"/>
      <c r="B3" s="48"/>
      <c r="C3" s="48"/>
      <c r="E3" s="48"/>
      <c r="F3" s="48"/>
    </row>
    <row r="4" spans="1:7" ht="15.75" x14ac:dyDescent="0.25">
      <c r="A4" s="46" t="s">
        <v>39</v>
      </c>
      <c r="B4" s="46" t="s">
        <v>41</v>
      </c>
      <c r="C4" s="46" t="s">
        <v>40</v>
      </c>
      <c r="D4" s="47"/>
      <c r="E4" s="46" t="s">
        <v>42</v>
      </c>
      <c r="F4" s="46" t="s">
        <v>43</v>
      </c>
    </row>
    <row r="5" spans="1:7" x14ac:dyDescent="0.25">
      <c r="A5" s="11">
        <v>17</v>
      </c>
      <c r="B5" s="41" t="s">
        <v>10</v>
      </c>
      <c r="C5" s="11">
        <f>MOD(A5,$C$2)</f>
        <v>2</v>
      </c>
      <c r="E5" s="11" t="s">
        <v>5</v>
      </c>
      <c r="F5" s="11">
        <f>genId(E5)</f>
        <v>2220</v>
      </c>
    </row>
    <row r="6" spans="1:7" x14ac:dyDescent="0.25">
      <c r="A6" s="11">
        <v>28</v>
      </c>
      <c r="B6" s="41" t="s">
        <v>10</v>
      </c>
      <c r="C6" s="11">
        <f>MOD(A6,$C$2)</f>
        <v>3</v>
      </c>
      <c r="E6" s="11" t="s">
        <v>6</v>
      </c>
      <c r="F6" s="11">
        <f>genId(E6)</f>
        <v>2325</v>
      </c>
    </row>
    <row r="7" spans="1:7" x14ac:dyDescent="0.25">
      <c r="A7" s="11">
        <v>176</v>
      </c>
      <c r="B7" s="41" t="s">
        <v>10</v>
      </c>
      <c r="C7" s="11">
        <f t="shared" ref="C7:C10" si="0">MOD(A7,$C$2)</f>
        <v>1</v>
      </c>
      <c r="E7" s="11" t="s">
        <v>7</v>
      </c>
      <c r="F7" s="11">
        <f>genId(E7)</f>
        <v>1566</v>
      </c>
    </row>
    <row r="8" spans="1:7" x14ac:dyDescent="0.25">
      <c r="A8" s="11">
        <v>164</v>
      </c>
      <c r="B8" s="41" t="s">
        <v>10</v>
      </c>
      <c r="C8" s="11">
        <f t="shared" si="0"/>
        <v>4</v>
      </c>
      <c r="E8" s="11" t="s">
        <v>44</v>
      </c>
      <c r="F8" s="11">
        <f t="shared" ref="F8:F10" si="1">genId(E8)</f>
        <v>1048</v>
      </c>
    </row>
    <row r="9" spans="1:7" x14ac:dyDescent="0.25">
      <c r="A9" s="11">
        <v>77</v>
      </c>
      <c r="B9" s="41" t="s">
        <v>10</v>
      </c>
      <c r="C9" s="11">
        <f t="shared" si="0"/>
        <v>2</v>
      </c>
      <c r="E9" s="11" t="s">
        <v>45</v>
      </c>
      <c r="F9" s="11">
        <f t="shared" si="1"/>
        <v>1498</v>
      </c>
    </row>
    <row r="10" spans="1:7" x14ac:dyDescent="0.25">
      <c r="A10" s="11">
        <v>153</v>
      </c>
      <c r="B10" s="41" t="s">
        <v>10</v>
      </c>
      <c r="C10" s="11">
        <f t="shared" si="0"/>
        <v>3</v>
      </c>
      <c r="E10" s="11" t="s">
        <v>46</v>
      </c>
      <c r="F10" s="11">
        <f t="shared" si="1"/>
        <v>1490</v>
      </c>
    </row>
    <row r="12" spans="1:7" x14ac:dyDescent="0.25">
      <c r="A12" s="3" t="s">
        <v>58</v>
      </c>
      <c r="B12" s="55" t="s">
        <v>68</v>
      </c>
      <c r="C12" s="55"/>
      <c r="D12" s="55"/>
      <c r="E12" s="55"/>
      <c r="F12" s="55"/>
      <c r="G12" s="55"/>
    </row>
  </sheetData>
  <mergeCells count="1">
    <mergeCell ref="B12:G1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18"/>
  <sheetViews>
    <sheetView showGridLines="0" workbookViewId="0"/>
  </sheetViews>
  <sheetFormatPr defaultRowHeight="15" x14ac:dyDescent="0.25"/>
  <cols>
    <col min="1" max="1" width="30.28515625" bestFit="1" customWidth="1"/>
    <col min="2" max="2" width="129.85546875" customWidth="1"/>
  </cols>
  <sheetData>
    <row r="1" spans="1:2" ht="19.5" thickBot="1" x14ac:dyDescent="0.35">
      <c r="B1" s="37" t="s">
        <v>36</v>
      </c>
    </row>
    <row r="2" spans="1:2" ht="15.75" thickBot="1" x14ac:dyDescent="0.3"/>
    <row r="3" spans="1:2" ht="47.25" thickBot="1" x14ac:dyDescent="0.4">
      <c r="A3" s="38" t="s">
        <v>32</v>
      </c>
      <c r="B3" s="39" t="s">
        <v>37</v>
      </c>
    </row>
    <row r="17" spans="2:2" ht="15.75" thickBot="1" x14ac:dyDescent="0.3"/>
    <row r="18" spans="2:2" ht="15.75" thickBot="1" x14ac:dyDescent="0.3">
      <c r="B18" s="40" t="s">
        <v>38</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E12"/>
  <sheetViews>
    <sheetView showGridLines="0" workbookViewId="0"/>
  </sheetViews>
  <sheetFormatPr defaultRowHeight="15" x14ac:dyDescent="0.25"/>
  <cols>
    <col min="3" max="3" width="44.5703125" customWidth="1"/>
    <col min="4" max="4" width="44" customWidth="1"/>
    <col min="5" max="5" width="52" customWidth="1"/>
  </cols>
  <sheetData>
    <row r="2" spans="2:5" ht="70.5" customHeight="1" x14ac:dyDescent="0.25">
      <c r="B2" s="3" t="s">
        <v>0</v>
      </c>
      <c r="C2" s="4" t="s">
        <v>2</v>
      </c>
      <c r="D2" s="4" t="s">
        <v>3</v>
      </c>
      <c r="E2" s="4" t="s">
        <v>4</v>
      </c>
    </row>
    <row r="4" spans="2:5" ht="36" customHeight="1" x14ac:dyDescent="0.25">
      <c r="B4" s="3" t="s">
        <v>1</v>
      </c>
      <c r="C4" s="5" t="str">
        <f>SHA1HASH(C2)</f>
        <v>94dd9e08c129c785f7f256e82fbe0a30e6d1ae40</v>
      </c>
      <c r="D4" s="5" t="str">
        <f>SHA1HASH(D2)</f>
        <v>253420c1158bc6382093d409ce2e9cff5806e980</v>
      </c>
      <c r="E4" s="5" t="str">
        <f>SHA1HASH(E2)</f>
        <v>dfe655b94c4f8ea95ff710039385c96b2a65613d</v>
      </c>
    </row>
    <row r="7" spans="2:5" x14ac:dyDescent="0.25">
      <c r="B7" s="3" t="s">
        <v>48</v>
      </c>
      <c r="C7" s="42" t="s">
        <v>49</v>
      </c>
      <c r="D7" s="43" t="s">
        <v>50</v>
      </c>
    </row>
    <row r="8" spans="2:5" x14ac:dyDescent="0.25">
      <c r="C8" s="42" t="s">
        <v>51</v>
      </c>
      <c r="D8" s="43" t="s">
        <v>47</v>
      </c>
    </row>
    <row r="10" spans="2:5" ht="105" customHeight="1" x14ac:dyDescent="0.25">
      <c r="B10" s="3" t="s">
        <v>58</v>
      </c>
      <c r="C10" s="42" t="s">
        <v>52</v>
      </c>
      <c r="D10" s="56" t="s">
        <v>53</v>
      </c>
      <c r="E10" s="56"/>
    </row>
    <row r="11" spans="2:5" ht="61.5" customHeight="1" x14ac:dyDescent="0.25">
      <c r="C11" s="42" t="s">
        <v>54</v>
      </c>
      <c r="D11" s="56" t="s">
        <v>57</v>
      </c>
      <c r="E11" s="56"/>
    </row>
    <row r="12" spans="2:5" ht="109.5" customHeight="1" x14ac:dyDescent="0.25">
      <c r="C12" s="42" t="s">
        <v>55</v>
      </c>
      <c r="D12" s="56" t="s">
        <v>56</v>
      </c>
      <c r="E12" s="56"/>
    </row>
  </sheetData>
  <mergeCells count="3">
    <mergeCell ref="D10:E10"/>
    <mergeCell ref="D11:E11"/>
    <mergeCell ref="D12:E12"/>
  </mergeCells>
  <pageMargins left="0.7" right="0.7" top="0.75" bottom="0.75" header="0.3" footer="0.3"/>
  <pageSetup orientation="portrait" horizontalDpi="300" verticalDpi="0" copies="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F17"/>
  <sheetViews>
    <sheetView showGridLines="0" workbookViewId="0"/>
  </sheetViews>
  <sheetFormatPr defaultRowHeight="15" x14ac:dyDescent="0.25"/>
  <cols>
    <col min="3" max="3" width="47.7109375" customWidth="1"/>
    <col min="4" max="4" width="6.85546875" customWidth="1"/>
    <col min="5" max="5" width="13.5703125" bestFit="1" customWidth="1"/>
    <col min="6" max="6" width="52.85546875" customWidth="1"/>
  </cols>
  <sheetData>
    <row r="1" spans="2:6" ht="15.75" thickBot="1" x14ac:dyDescent="0.3">
      <c r="B1" s="14" t="s">
        <v>17</v>
      </c>
      <c r="C1" s="15"/>
      <c r="E1" s="14" t="s">
        <v>18</v>
      </c>
      <c r="F1" s="15"/>
    </row>
    <row r="3" spans="2:6" x14ac:dyDescent="0.25">
      <c r="B3" s="8" t="s">
        <v>11</v>
      </c>
      <c r="C3" s="9">
        <v>1</v>
      </c>
      <c r="E3" s="8" t="s">
        <v>11</v>
      </c>
      <c r="F3" s="18">
        <v>1</v>
      </c>
    </row>
    <row r="4" spans="2:6" x14ac:dyDescent="0.25">
      <c r="B4" s="1"/>
      <c r="C4" s="6"/>
      <c r="E4" s="1"/>
      <c r="F4" s="6"/>
    </row>
    <row r="5" spans="2:6" x14ac:dyDescent="0.25">
      <c r="B5" s="8" t="s">
        <v>12</v>
      </c>
      <c r="C5" s="9">
        <v>4</v>
      </c>
      <c r="E5" s="8" t="s">
        <v>12</v>
      </c>
      <c r="F5" s="9">
        <v>221</v>
      </c>
    </row>
    <row r="6" spans="2:6" x14ac:dyDescent="0.25">
      <c r="B6" s="1"/>
      <c r="C6" s="6"/>
      <c r="E6" s="1"/>
      <c r="F6" s="6"/>
    </row>
    <row r="7" spans="2:6" ht="48.75" customHeight="1" x14ac:dyDescent="0.25">
      <c r="B7" s="10" t="s">
        <v>13</v>
      </c>
      <c r="C7" s="9" t="s">
        <v>14</v>
      </c>
      <c r="D7" s="7"/>
      <c r="E7" s="10" t="s">
        <v>13</v>
      </c>
      <c r="F7" s="9" t="s">
        <v>15</v>
      </c>
    </row>
    <row r="8" spans="2:6" ht="11.25" customHeight="1" x14ac:dyDescent="0.25">
      <c r="B8" s="6"/>
      <c r="C8" s="16"/>
      <c r="D8" s="7"/>
      <c r="E8" s="16"/>
      <c r="F8" s="16"/>
    </row>
    <row r="9" spans="2:6" ht="10.5" customHeight="1" x14ac:dyDescent="0.25">
      <c r="B9" s="6"/>
      <c r="C9" s="16"/>
      <c r="D9" s="7"/>
      <c r="E9" s="10" t="s">
        <v>20</v>
      </c>
      <c r="F9" s="9" t="str">
        <f>REPT("0",40)</f>
        <v>0000000000000000000000000000000000000000</v>
      </c>
    </row>
    <row r="10" spans="2:6" x14ac:dyDescent="0.25">
      <c r="B10" s="1"/>
      <c r="C10" s="6"/>
      <c r="E10" s="1"/>
      <c r="F10" s="6"/>
    </row>
    <row r="11" spans="2:6" x14ac:dyDescent="0.25">
      <c r="B11" s="8" t="s">
        <v>19</v>
      </c>
      <c r="C11" s="9" t="str">
        <f>C3&amp;C5&amp;C7</f>
        <v>14Hello</v>
      </c>
      <c r="E11" s="8" t="s">
        <v>19</v>
      </c>
      <c r="F11" s="9" t="str">
        <f>F3&amp;","&amp;F5&amp;","&amp;F7&amp;","&amp;F9</f>
        <v>1,221,Hello1,0000000000000000000000000000000000000000</v>
      </c>
    </row>
    <row r="12" spans="2:6" x14ac:dyDescent="0.25">
      <c r="B12" s="1"/>
      <c r="C12" s="6"/>
      <c r="E12" s="1"/>
      <c r="F12" s="6"/>
    </row>
    <row r="13" spans="2:6" x14ac:dyDescent="0.25">
      <c r="B13" s="8" t="s">
        <v>1</v>
      </c>
      <c r="C13" s="9" t="str">
        <f>SHA1HASH(C11)</f>
        <v>b75e57316768b3054048ba20b4c21e9ed01e7ff0</v>
      </c>
      <c r="E13" s="8" t="s">
        <v>1</v>
      </c>
      <c r="F13" s="9" t="str">
        <f>SHA1HASH(F11)</f>
        <v>d1aa5c2ee170e95baa1b8000fb9d7ed2f81ca746</v>
      </c>
    </row>
    <row r="14" spans="2:6" x14ac:dyDescent="0.25">
      <c r="F14" s="6"/>
    </row>
    <row r="15" spans="2:6" x14ac:dyDescent="0.25">
      <c r="F15" s="6"/>
    </row>
    <row r="17" spans="5:6" x14ac:dyDescent="0.25">
      <c r="E17" s="8" t="s">
        <v>21</v>
      </c>
      <c r="F17" s="12" t="s">
        <v>22</v>
      </c>
    </row>
  </sheetData>
  <conditionalFormatting sqref="F13">
    <cfRule type="notContainsText" dxfId="51" priority="3" operator="notContains" text="aa">
      <formula>ISERROR(SEARCH("aa",F13))</formula>
    </cfRule>
    <cfRule type="containsText" dxfId="50" priority="4" operator="containsText" text="aa">
      <formula>NOT(ISERROR(SEARCH("aa",F13)))</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17"/>
  <sheetViews>
    <sheetView showGridLines="0" workbookViewId="0"/>
  </sheetViews>
  <sheetFormatPr defaultRowHeight="15" x14ac:dyDescent="0.25"/>
  <cols>
    <col min="1" max="1" width="6.85546875" customWidth="1"/>
    <col min="2" max="2" width="13.5703125" bestFit="1" customWidth="1"/>
    <col min="3" max="3" width="48.5703125" customWidth="1"/>
    <col min="5" max="5" width="13.5703125" bestFit="1" customWidth="1"/>
    <col min="6" max="6" width="48.5703125" customWidth="1"/>
    <col min="8" max="8" width="13.5703125" bestFit="1" customWidth="1"/>
    <col min="9" max="9" width="48.5703125" customWidth="1"/>
    <col min="11" max="11" width="13.5703125" bestFit="1" customWidth="1"/>
    <col min="12" max="12" width="48.5703125" customWidth="1"/>
    <col min="14" max="14" width="13.5703125" bestFit="1" customWidth="1"/>
    <col min="15" max="15" width="48.5703125" customWidth="1"/>
  </cols>
  <sheetData>
    <row r="1" spans="1:15" ht="19.5" thickBot="1" x14ac:dyDescent="0.35">
      <c r="B1" s="19" t="s">
        <v>30</v>
      </c>
    </row>
    <row r="2" spans="1:15" ht="15.75" thickBot="1" x14ac:dyDescent="0.3">
      <c r="B2" s="14" t="s">
        <v>24</v>
      </c>
      <c r="C2" s="15"/>
      <c r="E2" s="14" t="s">
        <v>23</v>
      </c>
      <c r="F2" s="15"/>
      <c r="H2" s="14" t="s">
        <v>26</v>
      </c>
      <c r="I2" s="15"/>
      <c r="K2" s="14" t="s">
        <v>27</v>
      </c>
      <c r="L2" s="15"/>
      <c r="N2" s="14" t="s">
        <v>28</v>
      </c>
      <c r="O2" s="15"/>
    </row>
    <row r="3" spans="1:15" x14ac:dyDescent="0.25">
      <c r="B3" s="8" t="s">
        <v>11</v>
      </c>
      <c r="C3" s="9">
        <v>0</v>
      </c>
      <c r="E3" s="8" t="s">
        <v>11</v>
      </c>
      <c r="F3" s="9">
        <v>1</v>
      </c>
      <c r="H3" s="8" t="s">
        <v>11</v>
      </c>
      <c r="I3" s="9">
        <v>2</v>
      </c>
      <c r="K3" s="8" t="s">
        <v>11</v>
      </c>
      <c r="L3" s="9">
        <v>3</v>
      </c>
      <c r="N3" s="8" t="s">
        <v>11</v>
      </c>
      <c r="O3" s="9">
        <v>4</v>
      </c>
    </row>
    <row r="4" spans="1:15" x14ac:dyDescent="0.25">
      <c r="B4" s="1"/>
      <c r="C4" s="6"/>
      <c r="E4" s="1"/>
      <c r="F4" s="6"/>
      <c r="H4" s="1"/>
      <c r="I4" s="6"/>
      <c r="K4" s="1"/>
      <c r="L4" s="6"/>
      <c r="N4" s="1"/>
      <c r="O4" s="6"/>
    </row>
    <row r="5" spans="1:15" x14ac:dyDescent="0.25">
      <c r="B5" s="8" t="s">
        <v>12</v>
      </c>
      <c r="C5" s="9">
        <v>131</v>
      </c>
      <c r="E5" s="8" t="s">
        <v>12</v>
      </c>
      <c r="F5" s="9">
        <v>827</v>
      </c>
      <c r="H5" s="8" t="s">
        <v>12</v>
      </c>
      <c r="I5" s="9">
        <v>31</v>
      </c>
      <c r="K5" s="8" t="s">
        <v>12</v>
      </c>
      <c r="L5" s="9">
        <v>412</v>
      </c>
      <c r="N5" s="8" t="s">
        <v>12</v>
      </c>
      <c r="O5" s="9">
        <v>14</v>
      </c>
    </row>
    <row r="6" spans="1:15" x14ac:dyDescent="0.25">
      <c r="B6" s="1"/>
      <c r="C6" s="6"/>
      <c r="E6" s="1"/>
      <c r="F6" s="6"/>
      <c r="H6" s="1"/>
      <c r="I6" s="6"/>
      <c r="K6" s="1"/>
      <c r="L6" s="6"/>
      <c r="N6" s="1"/>
      <c r="O6" s="6"/>
    </row>
    <row r="7" spans="1:15" ht="48.75" customHeight="1" x14ac:dyDescent="0.25">
      <c r="A7" s="7"/>
      <c r="B7" s="10" t="s">
        <v>13</v>
      </c>
      <c r="C7" s="9" t="s">
        <v>15</v>
      </c>
      <c r="E7" s="10" t="s">
        <v>13</v>
      </c>
      <c r="F7" s="9" t="s">
        <v>15</v>
      </c>
      <c r="H7" s="10" t="s">
        <v>13</v>
      </c>
      <c r="I7" s="9" t="s">
        <v>15</v>
      </c>
      <c r="K7" s="10" t="s">
        <v>13</v>
      </c>
      <c r="L7" s="9" t="s">
        <v>25</v>
      </c>
      <c r="N7" s="10" t="s">
        <v>13</v>
      </c>
      <c r="O7" s="9" t="s">
        <v>15</v>
      </c>
    </row>
    <row r="8" spans="1:15" x14ac:dyDescent="0.25">
      <c r="A8" s="7"/>
      <c r="B8" s="16"/>
      <c r="C8" s="16"/>
      <c r="E8" s="16"/>
      <c r="F8" s="16"/>
      <c r="H8" s="16"/>
      <c r="I8" s="16"/>
      <c r="K8" s="16"/>
      <c r="L8" s="16"/>
      <c r="N8" s="16"/>
      <c r="O8" s="16"/>
    </row>
    <row r="9" spans="1:15" x14ac:dyDescent="0.25">
      <c r="A9" s="7"/>
      <c r="B9" s="10" t="s">
        <v>20</v>
      </c>
      <c r="C9" s="9" t="str">
        <f>REPT("0",40)</f>
        <v>0000000000000000000000000000000000000000</v>
      </c>
      <c r="E9" s="10" t="s">
        <v>20</v>
      </c>
      <c r="F9" s="9" t="str">
        <f>C13</f>
        <v>3daa82afe5054050d22bc2433fae8a3d0818b98e</v>
      </c>
      <c r="H9" s="10" t="s">
        <v>20</v>
      </c>
      <c r="I9" s="9" t="str">
        <f>F13</f>
        <v>c6aa5a3c179efdfd21340ab4a9f8d79135d53205</v>
      </c>
      <c r="K9" s="10" t="s">
        <v>20</v>
      </c>
      <c r="L9" s="9" t="str">
        <f>I13</f>
        <v>5caa15c90feccc4c35c8b17ae377ed5f0b015d8d</v>
      </c>
      <c r="N9" s="10" t="s">
        <v>20</v>
      </c>
      <c r="O9" s="9" t="str">
        <f>L13</f>
        <v>71aa3ef3bd78d28084159ca4ab55b4683c6a9fe1</v>
      </c>
    </row>
    <row r="10" spans="1:15" x14ac:dyDescent="0.25">
      <c r="B10" s="1"/>
      <c r="C10" s="6"/>
      <c r="E10" s="1"/>
      <c r="F10" s="6"/>
      <c r="H10" s="1"/>
      <c r="I10" s="6"/>
      <c r="K10" s="1"/>
      <c r="L10" s="6"/>
      <c r="N10" s="1"/>
      <c r="O10" s="6"/>
    </row>
    <row r="11" spans="1:15" ht="30" x14ac:dyDescent="0.25">
      <c r="B11" s="8" t="s">
        <v>19</v>
      </c>
      <c r="C11" s="17" t="str">
        <f>C3&amp;","&amp;C5&amp;","&amp;C7&amp;","&amp;C9</f>
        <v>0,131,Hello1,0000000000000000000000000000000000000000</v>
      </c>
      <c r="E11" s="8" t="s">
        <v>19</v>
      </c>
      <c r="F11" s="17" t="str">
        <f>F3&amp;","&amp;F5&amp;","&amp;F7&amp;","&amp;F9</f>
        <v>1,827,Hello1,3daa82afe5054050d22bc2433fae8a3d0818b98e</v>
      </c>
      <c r="H11" s="8" t="s">
        <v>19</v>
      </c>
      <c r="I11" s="17" t="str">
        <f>I3&amp;","&amp;I5&amp;","&amp;I7&amp;","&amp;I9</f>
        <v>2,31,Hello1,c6aa5a3c179efdfd21340ab4a9f8d79135d53205</v>
      </c>
      <c r="K11" s="8" t="s">
        <v>19</v>
      </c>
      <c r="L11" s="17" t="str">
        <f>L3&amp;","&amp;L5&amp;","&amp;L7&amp;","&amp;L9</f>
        <v>3,412,hello1233adasdsa,5caa15c90feccc4c35c8b17ae377ed5f0b015d8d</v>
      </c>
      <c r="N11" s="8" t="s">
        <v>19</v>
      </c>
      <c r="O11" s="17" t="str">
        <f>O3&amp;","&amp;O5&amp;","&amp;O7&amp;","&amp;O9</f>
        <v>4,14,Hello1,71aa3ef3bd78d28084159ca4ab55b4683c6a9fe1</v>
      </c>
    </row>
    <row r="12" spans="1:15" x14ac:dyDescent="0.25">
      <c r="B12" s="1"/>
      <c r="C12" s="6"/>
      <c r="E12" s="1"/>
      <c r="F12" s="6"/>
      <c r="H12" s="1"/>
      <c r="I12" s="6"/>
      <c r="K12" s="1"/>
      <c r="L12" s="6"/>
      <c r="N12" s="1"/>
      <c r="O12" s="6"/>
    </row>
    <row r="13" spans="1:15" x14ac:dyDescent="0.25">
      <c r="B13" s="8" t="s">
        <v>1</v>
      </c>
      <c r="C13" s="9" t="str">
        <f>SHA1HASH(C11)</f>
        <v>3daa82afe5054050d22bc2433fae8a3d0818b98e</v>
      </c>
      <c r="E13" s="8" t="s">
        <v>1</v>
      </c>
      <c r="F13" s="9" t="str">
        <f>SHA1HASH(F11)</f>
        <v>c6aa5a3c179efdfd21340ab4a9f8d79135d53205</v>
      </c>
      <c r="H13" s="8" t="s">
        <v>1</v>
      </c>
      <c r="I13" s="9" t="str">
        <f>SHA1HASH(I11)</f>
        <v>5caa15c90feccc4c35c8b17ae377ed5f0b015d8d</v>
      </c>
      <c r="K13" s="8" t="s">
        <v>1</v>
      </c>
      <c r="L13" s="9" t="str">
        <f>SHA1HASH(L11)</f>
        <v>71aa3ef3bd78d28084159ca4ab55b4683c6a9fe1</v>
      </c>
      <c r="N13" s="8" t="s">
        <v>1</v>
      </c>
      <c r="O13" s="9" t="str">
        <f>SHA1HASH(O11)</f>
        <v>34aa6d6c2cb75eaa21b5a69b2c95313a1eee127c</v>
      </c>
    </row>
    <row r="14" spans="1:15" x14ac:dyDescent="0.25">
      <c r="C14" s="6"/>
      <c r="F14" s="6"/>
      <c r="I14" s="6"/>
      <c r="L14" s="6"/>
      <c r="O14" s="6"/>
    </row>
    <row r="15" spans="1:15" x14ac:dyDescent="0.25">
      <c r="C15" s="6"/>
      <c r="F15" s="6"/>
      <c r="I15" s="6"/>
      <c r="L15" s="6"/>
      <c r="O15" s="6"/>
    </row>
    <row r="17" spans="2:15" x14ac:dyDescent="0.25">
      <c r="B17" s="8" t="s">
        <v>21</v>
      </c>
      <c r="C17" s="12" t="s">
        <v>16</v>
      </c>
      <c r="E17" s="8" t="s">
        <v>21</v>
      </c>
      <c r="F17" s="12" t="s">
        <v>16</v>
      </c>
      <c r="H17" s="8" t="s">
        <v>21</v>
      </c>
      <c r="I17" s="12" t="s">
        <v>16</v>
      </c>
      <c r="K17" s="8" t="s">
        <v>21</v>
      </c>
      <c r="L17" s="12" t="s">
        <v>16</v>
      </c>
      <c r="N17" s="8" t="s">
        <v>21</v>
      </c>
      <c r="O17" s="12" t="s">
        <v>16</v>
      </c>
    </row>
  </sheetData>
  <conditionalFormatting sqref="C13">
    <cfRule type="notContainsText" dxfId="49" priority="29" operator="notContains" text="aa">
      <formula>ISERROR(SEARCH("aa",C13))</formula>
    </cfRule>
    <cfRule type="containsText" dxfId="48" priority="30" operator="containsText" text="aa">
      <formula>NOT(ISERROR(SEARCH("aa",C13)))</formula>
    </cfRule>
  </conditionalFormatting>
  <conditionalFormatting sqref="F13">
    <cfRule type="notContainsText" dxfId="47" priority="27" operator="notContains" text="aa">
      <formula>ISERROR(SEARCH("aa",F13))</formula>
    </cfRule>
    <cfRule type="containsText" dxfId="46" priority="28" operator="containsText" text="aa">
      <formula>NOT(ISERROR(SEARCH("aa",F13)))</formula>
    </cfRule>
  </conditionalFormatting>
  <conditionalFormatting sqref="I13">
    <cfRule type="notContainsText" dxfId="45" priority="25" operator="notContains" text="aa">
      <formula>ISERROR(SEARCH("aa",I13))</formula>
    </cfRule>
    <cfRule type="containsText" dxfId="44" priority="26" operator="containsText" text="aa">
      <formula>NOT(ISERROR(SEARCH("aa",I13)))</formula>
    </cfRule>
  </conditionalFormatting>
  <conditionalFormatting sqref="L13">
    <cfRule type="notContainsText" dxfId="43" priority="23" operator="notContains" text="aa">
      <formula>ISERROR(SEARCH("aa",L13))</formula>
    </cfRule>
    <cfRule type="containsText" dxfId="42" priority="24" operator="containsText" text="aa">
      <formula>NOT(ISERROR(SEARCH("aa",L13)))</formula>
    </cfRule>
  </conditionalFormatting>
  <conditionalFormatting sqref="O13">
    <cfRule type="notContainsText" dxfId="41" priority="21" operator="notContains" text="aa">
      <formula>ISERROR(SEARCH("aa",O13))</formula>
    </cfRule>
    <cfRule type="containsText" dxfId="40" priority="22" operator="containsText" text="aa">
      <formula>NOT(ISERROR(SEARCH("aa",O13)))</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47"/>
  <sheetViews>
    <sheetView showGridLines="0" workbookViewId="0">
      <selection activeCell="A12" sqref="A12"/>
    </sheetView>
  </sheetViews>
  <sheetFormatPr defaultRowHeight="15" x14ac:dyDescent="0.25"/>
  <cols>
    <col min="1" max="1" width="6.85546875" customWidth="1"/>
    <col min="2" max="2" width="13.5703125" bestFit="1" customWidth="1"/>
    <col min="3" max="3" width="48.5703125" customWidth="1"/>
    <col min="5" max="5" width="13.5703125" bestFit="1" customWidth="1"/>
    <col min="6" max="6" width="48.5703125" customWidth="1"/>
    <col min="8" max="8" width="13.5703125" bestFit="1" customWidth="1"/>
    <col min="9" max="9" width="48.5703125" customWidth="1"/>
    <col min="11" max="11" width="13.5703125" bestFit="1" customWidth="1"/>
    <col min="12" max="12" width="48.5703125" customWidth="1"/>
    <col min="14" max="14" width="13.5703125" bestFit="1" customWidth="1"/>
    <col min="15" max="15" width="48.5703125" customWidth="1"/>
  </cols>
  <sheetData>
    <row r="1" spans="1:15" ht="19.5" thickBot="1" x14ac:dyDescent="0.35">
      <c r="B1" s="20" t="s">
        <v>30</v>
      </c>
      <c r="C1" s="21"/>
      <c r="D1" s="21"/>
      <c r="E1" s="21"/>
      <c r="F1" s="21"/>
      <c r="G1" s="21"/>
      <c r="H1" s="21"/>
      <c r="I1" s="21"/>
      <c r="J1" s="21"/>
      <c r="K1" s="21"/>
      <c r="L1" s="21"/>
      <c r="M1" s="21"/>
      <c r="N1" s="21"/>
      <c r="O1" s="22"/>
    </row>
    <row r="2" spans="1:15" ht="15.75" thickBot="1" x14ac:dyDescent="0.3">
      <c r="B2" s="14" t="s">
        <v>24</v>
      </c>
      <c r="C2" s="15"/>
      <c r="D2" s="23"/>
      <c r="E2" s="14" t="s">
        <v>23</v>
      </c>
      <c r="F2" s="15"/>
      <c r="G2" s="23"/>
      <c r="H2" s="14" t="s">
        <v>26</v>
      </c>
      <c r="I2" s="15"/>
      <c r="J2" s="23"/>
      <c r="K2" s="14" t="s">
        <v>27</v>
      </c>
      <c r="L2" s="15"/>
      <c r="M2" s="23"/>
      <c r="N2" s="14" t="s">
        <v>28</v>
      </c>
      <c r="O2" s="15"/>
    </row>
    <row r="3" spans="1:15" x14ac:dyDescent="0.25">
      <c r="B3" s="24" t="s">
        <v>11</v>
      </c>
      <c r="C3" s="9">
        <v>0</v>
      </c>
      <c r="D3" s="23"/>
      <c r="E3" s="8" t="s">
        <v>11</v>
      </c>
      <c r="F3" s="9">
        <v>1</v>
      </c>
      <c r="G3" s="23"/>
      <c r="H3" s="8" t="s">
        <v>11</v>
      </c>
      <c r="I3" s="9">
        <v>2</v>
      </c>
      <c r="J3" s="23"/>
      <c r="K3" s="8" t="s">
        <v>11</v>
      </c>
      <c r="L3" s="9">
        <v>3</v>
      </c>
      <c r="M3" s="23"/>
      <c r="N3" s="8" t="s">
        <v>11</v>
      </c>
      <c r="O3" s="25">
        <v>4</v>
      </c>
    </row>
    <row r="4" spans="1:15" x14ac:dyDescent="0.25">
      <c r="B4" s="26"/>
      <c r="C4" s="16"/>
      <c r="D4" s="23"/>
      <c r="E4" s="27"/>
      <c r="F4" s="16"/>
      <c r="G4" s="23"/>
      <c r="H4" s="27"/>
      <c r="I4" s="16"/>
      <c r="J4" s="23"/>
      <c r="K4" s="27"/>
      <c r="L4" s="16"/>
      <c r="M4" s="23"/>
      <c r="N4" s="27"/>
      <c r="O4" s="28"/>
    </row>
    <row r="5" spans="1:15" x14ac:dyDescent="0.25">
      <c r="B5" s="24" t="s">
        <v>12</v>
      </c>
      <c r="C5" s="9">
        <v>131</v>
      </c>
      <c r="D5" s="23"/>
      <c r="E5" s="8" t="s">
        <v>12</v>
      </c>
      <c r="F5" s="9">
        <v>827</v>
      </c>
      <c r="G5" s="23"/>
      <c r="H5" s="8" t="s">
        <v>12</v>
      </c>
      <c r="I5" s="9">
        <v>31</v>
      </c>
      <c r="J5" s="23"/>
      <c r="K5" s="8" t="s">
        <v>12</v>
      </c>
      <c r="L5" s="9">
        <v>412</v>
      </c>
      <c r="M5" s="23"/>
      <c r="N5" s="8" t="s">
        <v>12</v>
      </c>
      <c r="O5" s="25">
        <v>14</v>
      </c>
    </row>
    <row r="6" spans="1:15" x14ac:dyDescent="0.25">
      <c r="B6" s="26"/>
      <c r="C6" s="16"/>
      <c r="D6" s="23"/>
      <c r="E6" s="27"/>
      <c r="F6" s="16"/>
      <c r="G6" s="23"/>
      <c r="H6" s="27"/>
      <c r="I6" s="16"/>
      <c r="J6" s="23"/>
      <c r="K6" s="27"/>
      <c r="L6" s="16"/>
      <c r="M6" s="23"/>
      <c r="N6" s="27"/>
      <c r="O6" s="28"/>
    </row>
    <row r="7" spans="1:15" ht="48.75" customHeight="1" x14ac:dyDescent="0.25">
      <c r="A7" s="7"/>
      <c r="B7" s="29" t="s">
        <v>13</v>
      </c>
      <c r="C7" s="9" t="s">
        <v>15</v>
      </c>
      <c r="D7" s="23"/>
      <c r="E7" s="10" t="s">
        <v>13</v>
      </c>
      <c r="F7" s="9" t="s">
        <v>15</v>
      </c>
      <c r="G7" s="23"/>
      <c r="H7" s="10" t="s">
        <v>13</v>
      </c>
      <c r="I7" s="9" t="s">
        <v>15</v>
      </c>
      <c r="J7" s="23"/>
      <c r="K7" s="10" t="s">
        <v>13</v>
      </c>
      <c r="L7" s="9" t="s">
        <v>25</v>
      </c>
      <c r="M7" s="23"/>
      <c r="N7" s="10" t="s">
        <v>13</v>
      </c>
      <c r="O7" s="25" t="s">
        <v>15</v>
      </c>
    </row>
    <row r="8" spans="1:15" x14ac:dyDescent="0.25">
      <c r="A8" s="7"/>
      <c r="B8" s="30"/>
      <c r="C8" s="16"/>
      <c r="D8" s="23"/>
      <c r="E8" s="16"/>
      <c r="F8" s="16"/>
      <c r="G8" s="23"/>
      <c r="H8" s="16"/>
      <c r="I8" s="16"/>
      <c r="J8" s="23"/>
      <c r="K8" s="16"/>
      <c r="L8" s="16"/>
      <c r="M8" s="23"/>
      <c r="N8" s="16"/>
      <c r="O8" s="28"/>
    </row>
    <row r="9" spans="1:15" x14ac:dyDescent="0.25">
      <c r="A9" s="7"/>
      <c r="B9" s="29" t="s">
        <v>20</v>
      </c>
      <c r="C9" s="9" t="str">
        <f>REPT("0",40)</f>
        <v>0000000000000000000000000000000000000000</v>
      </c>
      <c r="D9" s="23"/>
      <c r="E9" s="10" t="s">
        <v>20</v>
      </c>
      <c r="F9" s="9" t="str">
        <f>C13</f>
        <v>3daa82afe5054050d22bc2433fae8a3d0818b98e</v>
      </c>
      <c r="G9" s="23"/>
      <c r="H9" s="10" t="s">
        <v>20</v>
      </c>
      <c r="I9" s="9" t="str">
        <f>F13</f>
        <v>c6aa5a3c179efdfd21340ab4a9f8d79135d53205</v>
      </c>
      <c r="J9" s="23"/>
      <c r="K9" s="10" t="s">
        <v>20</v>
      </c>
      <c r="L9" s="9" t="str">
        <f>I13</f>
        <v>5caa15c90feccc4c35c8b17ae377ed5f0b015d8d</v>
      </c>
      <c r="M9" s="23"/>
      <c r="N9" s="10" t="s">
        <v>20</v>
      </c>
      <c r="O9" s="25" t="str">
        <f>L13</f>
        <v>71aa3ef3bd78d28084159ca4ab55b4683c6a9fe1</v>
      </c>
    </row>
    <row r="10" spans="1:15" x14ac:dyDescent="0.25">
      <c r="B10" s="26"/>
      <c r="C10" s="16"/>
      <c r="D10" s="23"/>
      <c r="E10" s="27"/>
      <c r="F10" s="16"/>
      <c r="G10" s="23"/>
      <c r="H10" s="27"/>
      <c r="I10" s="16"/>
      <c r="J10" s="23"/>
      <c r="K10" s="27"/>
      <c r="L10" s="16"/>
      <c r="M10" s="23"/>
      <c r="N10" s="27"/>
      <c r="O10" s="28"/>
    </row>
    <row r="11" spans="1:15" ht="30" x14ac:dyDescent="0.25">
      <c r="B11" s="24" t="s">
        <v>19</v>
      </c>
      <c r="C11" s="17" t="str">
        <f>C3&amp;","&amp;C5&amp;","&amp;C7&amp;","&amp;C9</f>
        <v>0,131,Hello1,0000000000000000000000000000000000000000</v>
      </c>
      <c r="D11" s="23"/>
      <c r="E11" s="8" t="s">
        <v>19</v>
      </c>
      <c r="F11" s="17" t="str">
        <f>F3&amp;","&amp;F5&amp;","&amp;F7&amp;","&amp;F9</f>
        <v>1,827,Hello1,3daa82afe5054050d22bc2433fae8a3d0818b98e</v>
      </c>
      <c r="G11" s="23"/>
      <c r="H11" s="8" t="s">
        <v>19</v>
      </c>
      <c r="I11" s="17" t="str">
        <f>I3&amp;","&amp;I5&amp;","&amp;I7&amp;","&amp;I9</f>
        <v>2,31,Hello1,c6aa5a3c179efdfd21340ab4a9f8d79135d53205</v>
      </c>
      <c r="J11" s="23"/>
      <c r="K11" s="8" t="s">
        <v>19</v>
      </c>
      <c r="L11" s="17" t="str">
        <f>L3&amp;","&amp;L5&amp;","&amp;L7&amp;","&amp;L9</f>
        <v>3,412,hello1233adasdsa,5caa15c90feccc4c35c8b17ae377ed5f0b015d8d</v>
      </c>
      <c r="M11" s="23"/>
      <c r="N11" s="8" t="s">
        <v>19</v>
      </c>
      <c r="O11" s="31" t="str">
        <f>O3&amp;","&amp;O5&amp;","&amp;O7&amp;","&amp;O9</f>
        <v>4,14,Hello1,71aa3ef3bd78d28084159ca4ab55b4683c6a9fe1</v>
      </c>
    </row>
    <row r="12" spans="1:15" x14ac:dyDescent="0.25">
      <c r="B12" s="26"/>
      <c r="C12" s="16"/>
      <c r="D12" s="23"/>
      <c r="E12" s="27"/>
      <c r="F12" s="16"/>
      <c r="G12" s="23"/>
      <c r="H12" s="27"/>
      <c r="I12" s="16"/>
      <c r="J12" s="23"/>
      <c r="K12" s="27"/>
      <c r="L12" s="16"/>
      <c r="M12" s="23"/>
      <c r="N12" s="27"/>
      <c r="O12" s="28"/>
    </row>
    <row r="13" spans="1:15" x14ac:dyDescent="0.25">
      <c r="B13" s="24" t="s">
        <v>1</v>
      </c>
      <c r="C13" s="9" t="str">
        <f>SHA1HASH(C11)</f>
        <v>3daa82afe5054050d22bc2433fae8a3d0818b98e</v>
      </c>
      <c r="D13" s="23"/>
      <c r="E13" s="8" t="s">
        <v>1</v>
      </c>
      <c r="F13" s="9" t="str">
        <f>SHA1HASH(F11)</f>
        <v>c6aa5a3c179efdfd21340ab4a9f8d79135d53205</v>
      </c>
      <c r="G13" s="23"/>
      <c r="H13" s="8" t="s">
        <v>1</v>
      </c>
      <c r="I13" s="9" t="str">
        <f>SHA1HASH(I11)</f>
        <v>5caa15c90feccc4c35c8b17ae377ed5f0b015d8d</v>
      </c>
      <c r="J13" s="23"/>
      <c r="K13" s="8" t="s">
        <v>1</v>
      </c>
      <c r="L13" s="9" t="str">
        <f>SHA1HASH(L11)</f>
        <v>71aa3ef3bd78d28084159ca4ab55b4683c6a9fe1</v>
      </c>
      <c r="M13" s="23"/>
      <c r="N13" s="8" t="s">
        <v>1</v>
      </c>
      <c r="O13" s="25" t="str">
        <f>SHA1HASH(O11)</f>
        <v>34aa6d6c2cb75eaa21b5a69b2c95313a1eee127c</v>
      </c>
    </row>
    <row r="14" spans="1:15" x14ac:dyDescent="0.25">
      <c r="B14" s="32"/>
      <c r="C14" s="16"/>
      <c r="D14" s="23"/>
      <c r="E14" s="23"/>
      <c r="F14" s="16"/>
      <c r="G14" s="23"/>
      <c r="H14" s="23"/>
      <c r="I14" s="16"/>
      <c r="J14" s="23"/>
      <c r="K14" s="23"/>
      <c r="L14" s="16"/>
      <c r="M14" s="23"/>
      <c r="N14" s="23"/>
      <c r="O14" s="28"/>
    </row>
    <row r="15" spans="1:15" ht="15.75" thickBot="1" x14ac:dyDescent="0.3">
      <c r="B15" s="33"/>
      <c r="C15" s="34"/>
      <c r="D15" s="35"/>
      <c r="E15" s="35"/>
      <c r="F15" s="34"/>
      <c r="G15" s="35"/>
      <c r="H15" s="35"/>
      <c r="I15" s="34"/>
      <c r="J15" s="35"/>
      <c r="K15" s="35"/>
      <c r="L15" s="34"/>
      <c r="M15" s="35"/>
      <c r="N15" s="35"/>
      <c r="O15" s="36"/>
    </row>
    <row r="16" spans="1:15" ht="15.75" thickBot="1" x14ac:dyDescent="0.3"/>
    <row r="17" spans="2:15" ht="19.5" thickBot="1" x14ac:dyDescent="0.35">
      <c r="B17" s="20" t="s">
        <v>29</v>
      </c>
      <c r="C17" s="21"/>
      <c r="D17" s="21"/>
      <c r="E17" s="21"/>
      <c r="F17" s="21"/>
      <c r="G17" s="21"/>
      <c r="H17" s="21"/>
      <c r="I17" s="21"/>
      <c r="J17" s="21"/>
      <c r="K17" s="21"/>
      <c r="L17" s="21"/>
      <c r="M17" s="21"/>
      <c r="N17" s="21"/>
      <c r="O17" s="22"/>
    </row>
    <row r="18" spans="2:15" ht="15.75" thickBot="1" x14ac:dyDescent="0.3">
      <c r="B18" s="14" t="s">
        <v>24</v>
      </c>
      <c r="C18" s="15"/>
      <c r="D18" s="23"/>
      <c r="E18" s="14" t="s">
        <v>23</v>
      </c>
      <c r="F18" s="15"/>
      <c r="G18" s="23"/>
      <c r="H18" s="14" t="s">
        <v>26</v>
      </c>
      <c r="I18" s="15"/>
      <c r="J18" s="23"/>
      <c r="K18" s="14" t="s">
        <v>27</v>
      </c>
      <c r="L18" s="15"/>
      <c r="M18" s="23"/>
      <c r="N18" s="14" t="s">
        <v>28</v>
      </c>
      <c r="O18" s="15"/>
    </row>
    <row r="19" spans="2:15" x14ac:dyDescent="0.25">
      <c r="B19" s="24" t="s">
        <v>11</v>
      </c>
      <c r="C19" s="9">
        <v>0</v>
      </c>
      <c r="D19" s="23"/>
      <c r="E19" s="8" t="s">
        <v>11</v>
      </c>
      <c r="F19" s="9">
        <v>1</v>
      </c>
      <c r="G19" s="23"/>
      <c r="H19" s="8" t="s">
        <v>11</v>
      </c>
      <c r="I19" s="9">
        <v>2</v>
      </c>
      <c r="J19" s="23"/>
      <c r="K19" s="8" t="s">
        <v>11</v>
      </c>
      <c r="L19" s="9">
        <v>3</v>
      </c>
      <c r="M19" s="23"/>
      <c r="N19" s="8" t="s">
        <v>11</v>
      </c>
      <c r="O19" s="25">
        <v>4</v>
      </c>
    </row>
    <row r="20" spans="2:15" x14ac:dyDescent="0.25">
      <c r="B20" s="26"/>
      <c r="C20" s="16"/>
      <c r="D20" s="23"/>
      <c r="E20" s="27"/>
      <c r="F20" s="16"/>
      <c r="G20" s="23"/>
      <c r="H20" s="27"/>
      <c r="I20" s="16"/>
      <c r="J20" s="23"/>
      <c r="K20" s="27"/>
      <c r="L20" s="16"/>
      <c r="M20" s="23"/>
      <c r="N20" s="27"/>
      <c r="O20" s="28"/>
    </row>
    <row r="21" spans="2:15" x14ac:dyDescent="0.25">
      <c r="B21" s="24" t="s">
        <v>12</v>
      </c>
      <c r="C21" s="9">
        <v>131</v>
      </c>
      <c r="D21" s="23"/>
      <c r="E21" s="8" t="s">
        <v>12</v>
      </c>
      <c r="F21" s="9">
        <v>827</v>
      </c>
      <c r="G21" s="23"/>
      <c r="H21" s="8" t="s">
        <v>12</v>
      </c>
      <c r="I21" s="9">
        <v>31</v>
      </c>
      <c r="J21" s="23"/>
      <c r="K21" s="8" t="s">
        <v>12</v>
      </c>
      <c r="L21" s="9">
        <v>412</v>
      </c>
      <c r="M21" s="23"/>
      <c r="N21" s="8" t="s">
        <v>12</v>
      </c>
      <c r="O21" s="25">
        <v>14</v>
      </c>
    </row>
    <row r="22" spans="2:15" x14ac:dyDescent="0.25">
      <c r="B22" s="26"/>
      <c r="C22" s="16"/>
      <c r="D22" s="23"/>
      <c r="E22" s="27"/>
      <c r="F22" s="16"/>
      <c r="G22" s="23"/>
      <c r="H22" s="27"/>
      <c r="I22" s="16"/>
      <c r="J22" s="23"/>
      <c r="K22" s="27"/>
      <c r="L22" s="16"/>
      <c r="M22" s="23"/>
      <c r="N22" s="27"/>
      <c r="O22" s="28"/>
    </row>
    <row r="23" spans="2:15" x14ac:dyDescent="0.25">
      <c r="B23" s="29" t="s">
        <v>13</v>
      </c>
      <c r="C23" s="9" t="s">
        <v>15</v>
      </c>
      <c r="D23" s="23"/>
      <c r="E23" s="10" t="s">
        <v>13</v>
      </c>
      <c r="F23" s="9" t="s">
        <v>15</v>
      </c>
      <c r="G23" s="23"/>
      <c r="H23" s="10" t="s">
        <v>13</v>
      </c>
      <c r="I23" s="9" t="s">
        <v>15</v>
      </c>
      <c r="J23" s="23"/>
      <c r="K23" s="10" t="s">
        <v>13</v>
      </c>
      <c r="L23" s="9" t="s">
        <v>25</v>
      </c>
      <c r="M23" s="23"/>
      <c r="N23" s="10" t="s">
        <v>13</v>
      </c>
      <c r="O23" s="25" t="s">
        <v>15</v>
      </c>
    </row>
    <row r="24" spans="2:15" x14ac:dyDescent="0.25">
      <c r="B24" s="30"/>
      <c r="C24" s="16"/>
      <c r="D24" s="23"/>
      <c r="E24" s="16"/>
      <c r="F24" s="16"/>
      <c r="G24" s="23"/>
      <c r="H24" s="16"/>
      <c r="I24" s="16"/>
      <c r="J24" s="23"/>
      <c r="K24" s="16"/>
      <c r="L24" s="16"/>
      <c r="M24" s="23"/>
      <c r="N24" s="16"/>
      <c r="O24" s="28"/>
    </row>
    <row r="25" spans="2:15" x14ac:dyDescent="0.25">
      <c r="B25" s="29" t="s">
        <v>20</v>
      </c>
      <c r="C25" s="9" t="str">
        <f>REPT("0",40)</f>
        <v>0000000000000000000000000000000000000000</v>
      </c>
      <c r="D25" s="23"/>
      <c r="E25" s="10" t="s">
        <v>20</v>
      </c>
      <c r="F25" s="9" t="str">
        <f>C29</f>
        <v>3daa82afe5054050d22bc2433fae8a3d0818b98e</v>
      </c>
      <c r="G25" s="23"/>
      <c r="H25" s="10" t="s">
        <v>20</v>
      </c>
      <c r="I25" s="9" t="str">
        <f>F29</f>
        <v>c6aa5a3c179efdfd21340ab4a9f8d79135d53205</v>
      </c>
      <c r="J25" s="23"/>
      <c r="K25" s="10" t="s">
        <v>20</v>
      </c>
      <c r="L25" s="9" t="str">
        <f>I29</f>
        <v>5caa15c90feccc4c35c8b17ae377ed5f0b015d8d</v>
      </c>
      <c r="M25" s="23"/>
      <c r="N25" s="10" t="s">
        <v>20</v>
      </c>
      <c r="O25" s="25" t="str">
        <f>L29</f>
        <v>71aa3ef3bd78d28084159ca4ab55b4683c6a9fe1</v>
      </c>
    </row>
    <row r="26" spans="2:15" x14ac:dyDescent="0.25">
      <c r="B26" s="26"/>
      <c r="C26" s="16"/>
      <c r="D26" s="23"/>
      <c r="E26" s="27"/>
      <c r="F26" s="16"/>
      <c r="G26" s="23"/>
      <c r="H26" s="27"/>
      <c r="I26" s="16"/>
      <c r="J26" s="23"/>
      <c r="K26" s="27"/>
      <c r="L26" s="16"/>
      <c r="M26" s="23"/>
      <c r="N26" s="27"/>
      <c r="O26" s="28"/>
    </row>
    <row r="27" spans="2:15" ht="30" x14ac:dyDescent="0.25">
      <c r="B27" s="24" t="s">
        <v>19</v>
      </c>
      <c r="C27" s="17" t="str">
        <f>C19&amp;","&amp;C21&amp;","&amp;C23&amp;","&amp;C25</f>
        <v>0,131,Hello1,0000000000000000000000000000000000000000</v>
      </c>
      <c r="D27" s="23"/>
      <c r="E27" s="8" t="s">
        <v>19</v>
      </c>
      <c r="F27" s="17" t="str">
        <f>F19&amp;","&amp;F21&amp;","&amp;F23&amp;","&amp;F25</f>
        <v>1,827,Hello1,3daa82afe5054050d22bc2433fae8a3d0818b98e</v>
      </c>
      <c r="G27" s="23"/>
      <c r="H27" s="8" t="s">
        <v>19</v>
      </c>
      <c r="I27" s="17" t="str">
        <f>I19&amp;","&amp;I21&amp;","&amp;I23&amp;","&amp;I25</f>
        <v>2,31,Hello1,c6aa5a3c179efdfd21340ab4a9f8d79135d53205</v>
      </c>
      <c r="J27" s="23"/>
      <c r="K27" s="8" t="s">
        <v>19</v>
      </c>
      <c r="L27" s="17" t="str">
        <f>L19&amp;","&amp;L21&amp;","&amp;L23&amp;","&amp;L25</f>
        <v>3,412,hello1233adasdsa,5caa15c90feccc4c35c8b17ae377ed5f0b015d8d</v>
      </c>
      <c r="M27" s="23"/>
      <c r="N27" s="8" t="s">
        <v>19</v>
      </c>
      <c r="O27" s="31" t="str">
        <f>O19&amp;","&amp;O21&amp;","&amp;O23&amp;","&amp;O25</f>
        <v>4,14,Hello1,71aa3ef3bd78d28084159ca4ab55b4683c6a9fe1</v>
      </c>
    </row>
    <row r="28" spans="2:15" x14ac:dyDescent="0.25">
      <c r="B28" s="26"/>
      <c r="C28" s="16"/>
      <c r="D28" s="23"/>
      <c r="E28" s="27"/>
      <c r="F28" s="16"/>
      <c r="G28" s="23"/>
      <c r="H28" s="27"/>
      <c r="I28" s="16"/>
      <c r="J28" s="23"/>
      <c r="K28" s="27"/>
      <c r="L28" s="16"/>
      <c r="M28" s="23"/>
      <c r="N28" s="27"/>
      <c r="O28" s="28"/>
    </row>
    <row r="29" spans="2:15" x14ac:dyDescent="0.25">
      <c r="B29" s="24" t="s">
        <v>1</v>
      </c>
      <c r="C29" s="9" t="str">
        <f>SHA1HASH(C27)</f>
        <v>3daa82afe5054050d22bc2433fae8a3d0818b98e</v>
      </c>
      <c r="D29" s="23"/>
      <c r="E29" s="8" t="s">
        <v>1</v>
      </c>
      <c r="F29" s="9" t="str">
        <f>SHA1HASH(F27)</f>
        <v>c6aa5a3c179efdfd21340ab4a9f8d79135d53205</v>
      </c>
      <c r="G29" s="23"/>
      <c r="H29" s="8" t="s">
        <v>1</v>
      </c>
      <c r="I29" s="9" t="str">
        <f>SHA1HASH(I27)</f>
        <v>5caa15c90feccc4c35c8b17ae377ed5f0b015d8d</v>
      </c>
      <c r="J29" s="23"/>
      <c r="K29" s="8" t="s">
        <v>1</v>
      </c>
      <c r="L29" s="9" t="str">
        <f>SHA1HASH(L27)</f>
        <v>71aa3ef3bd78d28084159ca4ab55b4683c6a9fe1</v>
      </c>
      <c r="M29" s="23"/>
      <c r="N29" s="8" t="s">
        <v>1</v>
      </c>
      <c r="O29" s="25" t="str">
        <f>SHA1HASH(O27)</f>
        <v>34aa6d6c2cb75eaa21b5a69b2c95313a1eee127c</v>
      </c>
    </row>
    <row r="30" spans="2:15" x14ac:dyDescent="0.25">
      <c r="B30" s="32"/>
      <c r="C30" s="16"/>
      <c r="D30" s="23"/>
      <c r="E30" s="23"/>
      <c r="F30" s="16"/>
      <c r="G30" s="23"/>
      <c r="H30" s="23"/>
      <c r="I30" s="16"/>
      <c r="J30" s="23"/>
      <c r="K30" s="23"/>
      <c r="L30" s="16"/>
      <c r="M30" s="23"/>
      <c r="N30" s="23"/>
      <c r="O30" s="28"/>
    </row>
    <row r="31" spans="2:15" ht="15.75" thickBot="1" x14ac:dyDescent="0.3">
      <c r="B31" s="33"/>
      <c r="C31" s="34"/>
      <c r="D31" s="35"/>
      <c r="E31" s="35"/>
      <c r="F31" s="34"/>
      <c r="G31" s="35"/>
      <c r="H31" s="35"/>
      <c r="I31" s="34"/>
      <c r="J31" s="35"/>
      <c r="K31" s="35"/>
      <c r="L31" s="34"/>
      <c r="M31" s="35"/>
      <c r="N31" s="35"/>
      <c r="O31" s="36"/>
    </row>
    <row r="32" spans="2:15" ht="15.75" thickBot="1" x14ac:dyDescent="0.3"/>
    <row r="33" spans="2:15" ht="19.5" thickBot="1" x14ac:dyDescent="0.35">
      <c r="B33" s="20" t="s">
        <v>31</v>
      </c>
      <c r="C33" s="21"/>
      <c r="D33" s="21"/>
      <c r="E33" s="21"/>
      <c r="F33" s="21"/>
      <c r="G33" s="21"/>
      <c r="H33" s="21"/>
      <c r="I33" s="21"/>
      <c r="J33" s="21"/>
      <c r="K33" s="21"/>
      <c r="L33" s="21"/>
      <c r="M33" s="21"/>
      <c r="N33" s="21"/>
      <c r="O33" s="22"/>
    </row>
    <row r="34" spans="2:15" ht="15.75" thickBot="1" x14ac:dyDescent="0.3">
      <c r="B34" s="14" t="s">
        <v>24</v>
      </c>
      <c r="C34" s="15"/>
      <c r="D34" s="23"/>
      <c r="E34" s="14" t="s">
        <v>23</v>
      </c>
      <c r="F34" s="15"/>
      <c r="G34" s="23"/>
      <c r="H34" s="14" t="s">
        <v>26</v>
      </c>
      <c r="I34" s="15"/>
      <c r="J34" s="23"/>
      <c r="K34" s="14" t="s">
        <v>27</v>
      </c>
      <c r="L34" s="15"/>
      <c r="M34" s="23"/>
      <c r="N34" s="14" t="s">
        <v>28</v>
      </c>
      <c r="O34" s="15"/>
    </row>
    <row r="35" spans="2:15" x14ac:dyDescent="0.25">
      <c r="B35" s="24" t="s">
        <v>11</v>
      </c>
      <c r="C35" s="9">
        <v>0</v>
      </c>
      <c r="D35" s="23"/>
      <c r="E35" s="8" t="s">
        <v>11</v>
      </c>
      <c r="F35" s="9">
        <v>1</v>
      </c>
      <c r="G35" s="23"/>
      <c r="H35" s="8" t="s">
        <v>11</v>
      </c>
      <c r="I35" s="9">
        <v>2</v>
      </c>
      <c r="J35" s="23"/>
      <c r="K35" s="8" t="s">
        <v>11</v>
      </c>
      <c r="L35" s="9">
        <v>3</v>
      </c>
      <c r="M35" s="23"/>
      <c r="N35" s="8" t="s">
        <v>11</v>
      </c>
      <c r="O35" s="25">
        <v>4</v>
      </c>
    </row>
    <row r="36" spans="2:15" x14ac:dyDescent="0.25">
      <c r="B36" s="26"/>
      <c r="C36" s="16"/>
      <c r="D36" s="23"/>
      <c r="E36" s="27"/>
      <c r="F36" s="16"/>
      <c r="G36" s="23"/>
      <c r="H36" s="27"/>
      <c r="I36" s="16"/>
      <c r="J36" s="23"/>
      <c r="K36" s="27"/>
      <c r="L36" s="16"/>
      <c r="M36" s="23"/>
      <c r="N36" s="27"/>
      <c r="O36" s="28"/>
    </row>
    <row r="37" spans="2:15" x14ac:dyDescent="0.25">
      <c r="B37" s="24" t="s">
        <v>12</v>
      </c>
      <c r="C37" s="9">
        <v>131</v>
      </c>
      <c r="D37" s="23"/>
      <c r="E37" s="8" t="s">
        <v>12</v>
      </c>
      <c r="F37" s="9">
        <v>827</v>
      </c>
      <c r="G37" s="23"/>
      <c r="H37" s="8" t="s">
        <v>12</v>
      </c>
      <c r="I37" s="9">
        <v>31</v>
      </c>
      <c r="J37" s="23"/>
      <c r="K37" s="8" t="s">
        <v>12</v>
      </c>
      <c r="L37" s="9">
        <v>412</v>
      </c>
      <c r="M37" s="23"/>
      <c r="N37" s="8" t="s">
        <v>12</v>
      </c>
      <c r="O37" s="25">
        <v>14</v>
      </c>
    </row>
    <row r="38" spans="2:15" x14ac:dyDescent="0.25">
      <c r="B38" s="26"/>
      <c r="C38" s="16"/>
      <c r="D38" s="23"/>
      <c r="E38" s="27"/>
      <c r="F38" s="16"/>
      <c r="G38" s="23"/>
      <c r="H38" s="27"/>
      <c r="I38" s="16"/>
      <c r="J38" s="23"/>
      <c r="K38" s="27"/>
      <c r="L38" s="16"/>
      <c r="M38" s="23"/>
      <c r="N38" s="27"/>
      <c r="O38" s="28"/>
    </row>
    <row r="39" spans="2:15" x14ac:dyDescent="0.25">
      <c r="B39" s="29" t="s">
        <v>13</v>
      </c>
      <c r="C39" s="9" t="s">
        <v>15</v>
      </c>
      <c r="D39" s="23"/>
      <c r="E39" s="10" t="s">
        <v>13</v>
      </c>
      <c r="F39" s="9" t="s">
        <v>15</v>
      </c>
      <c r="G39" s="23"/>
      <c r="H39" s="10" t="s">
        <v>13</v>
      </c>
      <c r="I39" s="9" t="s">
        <v>15</v>
      </c>
      <c r="J39" s="23"/>
      <c r="K39" s="10" t="s">
        <v>13</v>
      </c>
      <c r="L39" s="9" t="s">
        <v>25</v>
      </c>
      <c r="M39" s="23"/>
      <c r="N39" s="10" t="s">
        <v>13</v>
      </c>
      <c r="O39" s="25" t="s">
        <v>15</v>
      </c>
    </row>
    <row r="40" spans="2:15" x14ac:dyDescent="0.25">
      <c r="B40" s="30"/>
      <c r="C40" s="16"/>
      <c r="D40" s="23"/>
      <c r="E40" s="16"/>
      <c r="F40" s="16"/>
      <c r="G40" s="23"/>
      <c r="H40" s="16"/>
      <c r="I40" s="16"/>
      <c r="J40" s="23"/>
      <c r="K40" s="16"/>
      <c r="L40" s="16"/>
      <c r="M40" s="23"/>
      <c r="N40" s="16"/>
      <c r="O40" s="28"/>
    </row>
    <row r="41" spans="2:15" x14ac:dyDescent="0.25">
      <c r="B41" s="29" t="s">
        <v>20</v>
      </c>
      <c r="C41" s="9" t="str">
        <f>REPT("0",40)</f>
        <v>0000000000000000000000000000000000000000</v>
      </c>
      <c r="D41" s="23"/>
      <c r="E41" s="10" t="s">
        <v>20</v>
      </c>
      <c r="F41" s="9" t="str">
        <f>C45</f>
        <v>3daa82afe5054050d22bc2433fae8a3d0818b98e</v>
      </c>
      <c r="G41" s="23"/>
      <c r="H41" s="10" t="s">
        <v>20</v>
      </c>
      <c r="I41" s="9" t="str">
        <f>F45</f>
        <v>c6aa5a3c179efdfd21340ab4a9f8d79135d53205</v>
      </c>
      <c r="J41" s="23"/>
      <c r="K41" s="10" t="s">
        <v>20</v>
      </c>
      <c r="L41" s="9" t="str">
        <f>I45</f>
        <v>5caa15c90feccc4c35c8b17ae377ed5f0b015d8d</v>
      </c>
      <c r="M41" s="23"/>
      <c r="N41" s="10" t="s">
        <v>20</v>
      </c>
      <c r="O41" s="25" t="str">
        <f>L45</f>
        <v>71aa3ef3bd78d28084159ca4ab55b4683c6a9fe1</v>
      </c>
    </row>
    <row r="42" spans="2:15" x14ac:dyDescent="0.25">
      <c r="B42" s="26"/>
      <c r="C42" s="16"/>
      <c r="D42" s="23"/>
      <c r="E42" s="27"/>
      <c r="F42" s="16"/>
      <c r="G42" s="23"/>
      <c r="H42" s="27"/>
      <c r="I42" s="16"/>
      <c r="J42" s="23"/>
      <c r="K42" s="27"/>
      <c r="L42" s="16"/>
      <c r="M42" s="23"/>
      <c r="N42" s="27"/>
      <c r="O42" s="28"/>
    </row>
    <row r="43" spans="2:15" ht="30" x14ac:dyDescent="0.25">
      <c r="B43" s="24" t="s">
        <v>19</v>
      </c>
      <c r="C43" s="17" t="str">
        <f>C35&amp;","&amp;C37&amp;","&amp;C39&amp;","&amp;C41</f>
        <v>0,131,Hello1,0000000000000000000000000000000000000000</v>
      </c>
      <c r="D43" s="23"/>
      <c r="E43" s="8" t="s">
        <v>19</v>
      </c>
      <c r="F43" s="17" t="str">
        <f>F35&amp;","&amp;F37&amp;","&amp;F39&amp;","&amp;F41</f>
        <v>1,827,Hello1,3daa82afe5054050d22bc2433fae8a3d0818b98e</v>
      </c>
      <c r="G43" s="23"/>
      <c r="H43" s="8" t="s">
        <v>19</v>
      </c>
      <c r="I43" s="17" t="str">
        <f>I35&amp;","&amp;I37&amp;","&amp;I39&amp;","&amp;I41</f>
        <v>2,31,Hello1,c6aa5a3c179efdfd21340ab4a9f8d79135d53205</v>
      </c>
      <c r="J43" s="23"/>
      <c r="K43" s="8" t="s">
        <v>19</v>
      </c>
      <c r="L43" s="17" t="str">
        <f>L35&amp;","&amp;L37&amp;","&amp;L39&amp;","&amp;L41</f>
        <v>3,412,hello1233adasdsa,5caa15c90feccc4c35c8b17ae377ed5f0b015d8d</v>
      </c>
      <c r="M43" s="23"/>
      <c r="N43" s="8" t="s">
        <v>19</v>
      </c>
      <c r="O43" s="31" t="str">
        <f>O35&amp;","&amp;O37&amp;","&amp;O39&amp;","&amp;O41</f>
        <v>4,14,Hello1,71aa3ef3bd78d28084159ca4ab55b4683c6a9fe1</v>
      </c>
    </row>
    <row r="44" spans="2:15" x14ac:dyDescent="0.25">
      <c r="B44" s="26"/>
      <c r="C44" s="16"/>
      <c r="D44" s="23"/>
      <c r="E44" s="27"/>
      <c r="F44" s="16"/>
      <c r="G44" s="23"/>
      <c r="H44" s="27"/>
      <c r="I44" s="16"/>
      <c r="J44" s="23"/>
      <c r="K44" s="27"/>
      <c r="L44" s="16"/>
      <c r="M44" s="23"/>
      <c r="N44" s="27"/>
      <c r="O44" s="28"/>
    </row>
    <row r="45" spans="2:15" x14ac:dyDescent="0.25">
      <c r="B45" s="24" t="s">
        <v>1</v>
      </c>
      <c r="C45" s="9" t="str">
        <f>SHA1HASH(C43)</f>
        <v>3daa82afe5054050d22bc2433fae8a3d0818b98e</v>
      </c>
      <c r="D45" s="23"/>
      <c r="E45" s="8" t="s">
        <v>1</v>
      </c>
      <c r="F45" s="9" t="str">
        <f>SHA1HASH(F43)</f>
        <v>c6aa5a3c179efdfd21340ab4a9f8d79135d53205</v>
      </c>
      <c r="G45" s="23"/>
      <c r="H45" s="8" t="s">
        <v>1</v>
      </c>
      <c r="I45" s="9" t="str">
        <f>SHA1HASH(I43)</f>
        <v>5caa15c90feccc4c35c8b17ae377ed5f0b015d8d</v>
      </c>
      <c r="J45" s="23"/>
      <c r="K45" s="8" t="s">
        <v>1</v>
      </c>
      <c r="L45" s="9" t="str">
        <f>SHA1HASH(L43)</f>
        <v>71aa3ef3bd78d28084159ca4ab55b4683c6a9fe1</v>
      </c>
      <c r="M45" s="23"/>
      <c r="N45" s="8" t="s">
        <v>1</v>
      </c>
      <c r="O45" s="25" t="str">
        <f>SHA1HASH(O43)</f>
        <v>34aa6d6c2cb75eaa21b5a69b2c95313a1eee127c</v>
      </c>
    </row>
    <row r="46" spans="2:15" x14ac:dyDescent="0.25">
      <c r="B46" s="32"/>
      <c r="C46" s="16"/>
      <c r="D46" s="23"/>
      <c r="E46" s="23"/>
      <c r="F46" s="16"/>
      <c r="G46" s="23"/>
      <c r="H46" s="23"/>
      <c r="I46" s="16"/>
      <c r="J46" s="23"/>
      <c r="K46" s="23"/>
      <c r="L46" s="16"/>
      <c r="M46" s="23"/>
      <c r="N46" s="23"/>
      <c r="O46" s="28"/>
    </row>
    <row r="47" spans="2:15" ht="15.75" thickBot="1" x14ac:dyDescent="0.3">
      <c r="B47" s="33"/>
      <c r="C47" s="34"/>
      <c r="D47" s="35"/>
      <c r="E47" s="35"/>
      <c r="F47" s="34"/>
      <c r="G47" s="35"/>
      <c r="H47" s="35"/>
      <c r="I47" s="34"/>
      <c r="J47" s="35"/>
      <c r="K47" s="35"/>
      <c r="L47" s="34"/>
      <c r="M47" s="35"/>
      <c r="N47" s="35"/>
      <c r="O47" s="36"/>
    </row>
  </sheetData>
  <conditionalFormatting sqref="C13">
    <cfRule type="notContainsText" dxfId="39" priority="37" operator="notContains" text="aa">
      <formula>ISERROR(SEARCH("aa",C13))</formula>
    </cfRule>
    <cfRule type="containsText" dxfId="38" priority="38" operator="containsText" text="aa">
      <formula>NOT(ISERROR(SEARCH("aa",C13)))</formula>
    </cfRule>
  </conditionalFormatting>
  <conditionalFormatting sqref="F29">
    <cfRule type="notContainsText" dxfId="37" priority="17" operator="notContains" text="aa">
      <formula>ISERROR(SEARCH("aa",F29))</formula>
    </cfRule>
    <cfRule type="containsText" dxfId="36" priority="18" operator="containsText" text="aa">
      <formula>NOT(ISERROR(SEARCH("aa",F29)))</formula>
    </cfRule>
  </conditionalFormatting>
  <conditionalFormatting sqref="F13">
    <cfRule type="notContainsText" dxfId="35" priority="27" operator="notContains" text="aa">
      <formula>ISERROR(SEARCH("aa",F13))</formula>
    </cfRule>
    <cfRule type="containsText" dxfId="34" priority="28" operator="containsText" text="aa">
      <formula>NOT(ISERROR(SEARCH("aa",F13)))</formula>
    </cfRule>
  </conditionalFormatting>
  <conditionalFormatting sqref="I13">
    <cfRule type="notContainsText" dxfId="33" priority="25" operator="notContains" text="aa">
      <formula>ISERROR(SEARCH("aa",I13))</formula>
    </cfRule>
    <cfRule type="containsText" dxfId="32" priority="26" operator="containsText" text="aa">
      <formula>NOT(ISERROR(SEARCH("aa",I13)))</formula>
    </cfRule>
  </conditionalFormatting>
  <conditionalFormatting sqref="L13">
    <cfRule type="notContainsText" dxfId="31" priority="23" operator="notContains" text="aa">
      <formula>ISERROR(SEARCH("aa",L13))</formula>
    </cfRule>
    <cfRule type="containsText" dxfId="30" priority="24" operator="containsText" text="aa">
      <formula>NOT(ISERROR(SEARCH("aa",L13)))</formula>
    </cfRule>
  </conditionalFormatting>
  <conditionalFormatting sqref="O13">
    <cfRule type="notContainsText" dxfId="29" priority="21" operator="notContains" text="aa">
      <formula>ISERROR(SEARCH("aa",O13))</formula>
    </cfRule>
    <cfRule type="containsText" dxfId="28" priority="22" operator="containsText" text="aa">
      <formula>NOT(ISERROR(SEARCH("aa",O13)))</formula>
    </cfRule>
  </conditionalFormatting>
  <conditionalFormatting sqref="C29">
    <cfRule type="notContainsText" dxfId="27" priority="19" operator="notContains" text="aa">
      <formula>ISERROR(SEARCH("aa",C29))</formula>
    </cfRule>
    <cfRule type="containsText" dxfId="26" priority="20" operator="containsText" text="aa">
      <formula>NOT(ISERROR(SEARCH("aa",C29)))</formula>
    </cfRule>
  </conditionalFormatting>
  <conditionalFormatting sqref="I29">
    <cfRule type="notContainsText" dxfId="25" priority="15" operator="notContains" text="aa">
      <formula>ISERROR(SEARCH("aa",I29))</formula>
    </cfRule>
    <cfRule type="containsText" dxfId="24" priority="16" operator="containsText" text="aa">
      <formula>NOT(ISERROR(SEARCH("aa",I29)))</formula>
    </cfRule>
  </conditionalFormatting>
  <conditionalFormatting sqref="L29">
    <cfRule type="notContainsText" dxfId="23" priority="13" operator="notContains" text="aa">
      <formula>ISERROR(SEARCH("aa",L29))</formula>
    </cfRule>
    <cfRule type="containsText" dxfId="22" priority="14" operator="containsText" text="aa">
      <formula>NOT(ISERROR(SEARCH("aa",L29)))</formula>
    </cfRule>
  </conditionalFormatting>
  <conditionalFormatting sqref="O29">
    <cfRule type="notContainsText" dxfId="21" priority="11" operator="notContains" text="aa">
      <formula>ISERROR(SEARCH("aa",O29))</formula>
    </cfRule>
    <cfRule type="containsText" dxfId="20" priority="12" operator="containsText" text="aa">
      <formula>NOT(ISERROR(SEARCH("aa",O29)))</formula>
    </cfRule>
  </conditionalFormatting>
  <conditionalFormatting sqref="O45">
    <cfRule type="notContainsText" dxfId="19" priority="1" operator="notContains" text="aa">
      <formula>ISERROR(SEARCH("aa",O45))</formula>
    </cfRule>
    <cfRule type="containsText" dxfId="18" priority="2" operator="containsText" text="aa">
      <formula>NOT(ISERROR(SEARCH("aa",O45)))</formula>
    </cfRule>
  </conditionalFormatting>
  <conditionalFormatting sqref="F45">
    <cfRule type="notContainsText" dxfId="17" priority="7" operator="notContains" text="aa">
      <formula>ISERROR(SEARCH("aa",F45))</formula>
    </cfRule>
    <cfRule type="containsText" dxfId="16" priority="8" operator="containsText" text="aa">
      <formula>NOT(ISERROR(SEARCH("aa",F45)))</formula>
    </cfRule>
  </conditionalFormatting>
  <conditionalFormatting sqref="C45">
    <cfRule type="notContainsText" dxfId="15" priority="9" operator="notContains" text="aa">
      <formula>ISERROR(SEARCH("aa",C45))</formula>
    </cfRule>
    <cfRule type="containsText" dxfId="14" priority="10" operator="containsText" text="aa">
      <formula>NOT(ISERROR(SEARCH("aa",C45)))</formula>
    </cfRule>
  </conditionalFormatting>
  <conditionalFormatting sqref="I45">
    <cfRule type="notContainsText" dxfId="13" priority="5" operator="notContains" text="aa">
      <formula>ISERROR(SEARCH("aa",I45))</formula>
    </cfRule>
    <cfRule type="containsText" dxfId="12" priority="6" operator="containsText" text="aa">
      <formula>NOT(ISERROR(SEARCH("aa",I45)))</formula>
    </cfRule>
  </conditionalFormatting>
  <conditionalFormatting sqref="L45">
    <cfRule type="notContainsText" dxfId="11" priority="3" operator="notContains" text="aa">
      <formula>ISERROR(SEARCH("aa",L45))</formula>
    </cfRule>
    <cfRule type="containsText" dxfId="10" priority="4" operator="containsText" text="aa">
      <formula>NOT(ISERROR(SEARCH("aa",L45)))</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15"/>
  <sheetViews>
    <sheetView showGridLines="0" workbookViewId="0">
      <selection activeCell="A8" sqref="A8"/>
    </sheetView>
  </sheetViews>
  <sheetFormatPr defaultRowHeight="15" x14ac:dyDescent="0.25"/>
  <cols>
    <col min="1" max="1" width="6.85546875" customWidth="1"/>
    <col min="2" max="2" width="13.5703125" bestFit="1" customWidth="1"/>
    <col min="3" max="3" width="48.5703125" customWidth="1"/>
    <col min="5" max="5" width="13.5703125" bestFit="1" customWidth="1"/>
    <col min="6" max="6" width="48.5703125" customWidth="1"/>
    <col min="8" max="8" width="13.5703125" bestFit="1" customWidth="1"/>
    <col min="9" max="9" width="48.5703125" customWidth="1"/>
    <col min="11" max="11" width="13.5703125" bestFit="1" customWidth="1"/>
    <col min="12" max="12" width="48.5703125" customWidth="1"/>
    <col min="14" max="14" width="13.5703125" bestFit="1" customWidth="1"/>
    <col min="15" max="15" width="48.5703125" customWidth="1"/>
  </cols>
  <sheetData>
    <row r="1" spans="1:15" ht="19.5" thickBot="1" x14ac:dyDescent="0.35">
      <c r="B1" s="19" t="s">
        <v>30</v>
      </c>
    </row>
    <row r="2" spans="1:15" ht="15.75" thickBot="1" x14ac:dyDescent="0.3">
      <c r="B2" s="14" t="s">
        <v>24</v>
      </c>
      <c r="C2" s="15"/>
      <c r="E2" s="14" t="s">
        <v>23</v>
      </c>
      <c r="F2" s="15"/>
      <c r="H2" s="14" t="s">
        <v>26</v>
      </c>
      <c r="I2" s="15"/>
      <c r="K2" s="14" t="s">
        <v>27</v>
      </c>
      <c r="L2" s="15"/>
      <c r="N2" s="14" t="s">
        <v>28</v>
      </c>
      <c r="O2" s="15"/>
    </row>
    <row r="3" spans="1:15" x14ac:dyDescent="0.25">
      <c r="B3" s="8" t="s">
        <v>11</v>
      </c>
      <c r="C3" s="9">
        <v>0</v>
      </c>
      <c r="E3" s="8" t="s">
        <v>11</v>
      </c>
      <c r="F3" s="9">
        <v>1</v>
      </c>
      <c r="H3" s="8" t="s">
        <v>11</v>
      </c>
      <c r="I3" s="9">
        <v>2</v>
      </c>
      <c r="K3" s="8" t="s">
        <v>11</v>
      </c>
      <c r="L3" s="9">
        <v>3</v>
      </c>
      <c r="N3" s="8" t="s">
        <v>11</v>
      </c>
      <c r="O3" s="9">
        <v>4</v>
      </c>
    </row>
    <row r="4" spans="1:15" x14ac:dyDescent="0.25">
      <c r="B4" s="1"/>
      <c r="C4" s="6"/>
      <c r="E4" s="1"/>
      <c r="F4" s="6"/>
      <c r="H4" s="1"/>
      <c r="I4" s="6"/>
      <c r="K4" s="1"/>
      <c r="L4" s="6"/>
      <c r="N4" s="1"/>
      <c r="O4" s="6"/>
    </row>
    <row r="5" spans="1:15" x14ac:dyDescent="0.25">
      <c r="B5" s="8" t="s">
        <v>12</v>
      </c>
      <c r="C5" s="9">
        <v>30</v>
      </c>
      <c r="E5" s="8" t="s">
        <v>12</v>
      </c>
      <c r="F5" s="9">
        <v>608</v>
      </c>
      <c r="H5" s="8" t="s">
        <v>12</v>
      </c>
      <c r="I5" s="9">
        <v>228</v>
      </c>
      <c r="K5" s="8" t="s">
        <v>12</v>
      </c>
      <c r="L5" s="9">
        <v>319</v>
      </c>
      <c r="N5" s="8" t="s">
        <v>12</v>
      </c>
      <c r="O5" s="9">
        <v>740</v>
      </c>
    </row>
    <row r="6" spans="1:15" x14ac:dyDescent="0.25">
      <c r="B6" s="1"/>
      <c r="C6" s="6"/>
      <c r="E6" s="1"/>
      <c r="F6" s="6"/>
      <c r="H6" s="1"/>
      <c r="I6" s="6"/>
      <c r="K6" s="1"/>
      <c r="L6" s="6"/>
      <c r="N6" s="1"/>
      <c r="O6" s="6"/>
    </row>
    <row r="7" spans="1:15" ht="48.75" customHeight="1" x14ac:dyDescent="0.25">
      <c r="A7" s="7"/>
      <c r="B7" s="10" t="s">
        <v>13</v>
      </c>
      <c r="C7" s="17" t="s">
        <v>73</v>
      </c>
      <c r="E7" s="10" t="s">
        <v>13</v>
      </c>
      <c r="F7" s="17" t="s">
        <v>74</v>
      </c>
      <c r="H7" s="10" t="s">
        <v>13</v>
      </c>
      <c r="I7" s="17" t="s">
        <v>75</v>
      </c>
      <c r="K7" s="10" t="s">
        <v>13</v>
      </c>
      <c r="L7" s="17" t="s">
        <v>76</v>
      </c>
      <c r="N7" s="10" t="s">
        <v>13</v>
      </c>
      <c r="O7" s="17" t="s">
        <v>77</v>
      </c>
    </row>
    <row r="8" spans="1:15" x14ac:dyDescent="0.25">
      <c r="A8" s="7"/>
      <c r="B8" s="16"/>
      <c r="C8" s="16"/>
      <c r="E8" s="16"/>
      <c r="F8" s="16"/>
      <c r="H8" s="16"/>
      <c r="I8" s="16"/>
      <c r="K8" s="16"/>
      <c r="L8" s="16"/>
      <c r="N8" s="16"/>
      <c r="O8" s="16"/>
    </row>
    <row r="9" spans="1:15" x14ac:dyDescent="0.25">
      <c r="A9" s="7"/>
      <c r="B9" s="10" t="s">
        <v>20</v>
      </c>
      <c r="C9" s="9" t="str">
        <f>REPT("0",40)</f>
        <v>0000000000000000000000000000000000000000</v>
      </c>
      <c r="E9" s="10" t="s">
        <v>20</v>
      </c>
      <c r="F9" s="9" t="str">
        <f>C13</f>
        <v>50aa1bb49d7c85dfc2e2b03569227528e04c74f3</v>
      </c>
      <c r="H9" s="10" t="s">
        <v>20</v>
      </c>
      <c r="I9" s="9" t="str">
        <f>F13</f>
        <v>45aa469dff0cbd8eb5ee8453bf17a3b2088f70ac</v>
      </c>
      <c r="K9" s="10" t="s">
        <v>20</v>
      </c>
      <c r="L9" s="9" t="str">
        <f>I13</f>
        <v>77aa3808330fc3cba57f914c121a8fa79e216bf3</v>
      </c>
      <c r="N9" s="10" t="s">
        <v>20</v>
      </c>
      <c r="O9" s="9" t="str">
        <f>L13</f>
        <v>05aab10611dd9bc9865c34959b2d7d36f036ac89</v>
      </c>
    </row>
    <row r="10" spans="1:15" x14ac:dyDescent="0.25">
      <c r="B10" s="1"/>
      <c r="C10" s="6"/>
      <c r="E10" s="1"/>
      <c r="F10" s="6"/>
      <c r="H10" s="1"/>
      <c r="I10" s="6"/>
      <c r="K10" s="1"/>
      <c r="L10" s="6"/>
      <c r="N10" s="1"/>
      <c r="O10" s="6"/>
    </row>
    <row r="11" spans="1:15" ht="30" x14ac:dyDescent="0.25">
      <c r="B11" s="8" t="s">
        <v>19</v>
      </c>
      <c r="C11" s="17" t="str">
        <f>C3&amp;","&amp;C5&amp;","&amp;C7&amp;","&amp;C9</f>
        <v>0,30,{From:Alice,To:Bob,Value:23},
{From:Michel,To:Nancy,Value:2},
{From:Mary,To:Hilly,Value:3},,0000000000000000000000000000000000000000</v>
      </c>
      <c r="E11" s="8" t="s">
        <v>19</v>
      </c>
      <c r="F11" s="17" t="str">
        <f>F3&amp;","&amp;F5&amp;","&amp;F7&amp;","&amp;F9</f>
        <v>1,608,{From:Suv,To:Hira,Value:102},
{From:Ram,To:Hari,Value:34},
{From:Gary,To:Bil,Value:367},,50aa1bb49d7c85dfc2e2b03569227528e04c74f3</v>
      </c>
      <c r="H11" s="8" t="s">
        <v>19</v>
      </c>
      <c r="I11" s="17" t="str">
        <f>I3&amp;","&amp;I5&amp;","&amp;I7&amp;","&amp;I9</f>
        <v>2,228,{From:Bil,To:Sil,Value:45},
{From:Michel,To:Nancy,Value:2},
{From:Hary,To:Ran,Value:36},,45aa469dff0cbd8eb5ee8453bf17a3b2088f70ac</v>
      </c>
      <c r="K11" s="8" t="s">
        <v>19</v>
      </c>
      <c r="L11" s="17" t="str">
        <f>L3&amp;","&amp;L5&amp;","&amp;L7&amp;","&amp;L9</f>
        <v>3,319,{From:Suv,To:Hira,Value:67},
{From:Ram,To:Hari,Value:56},
{From:Gary,To:Bil,Value:7},,77aa3808330fc3cba57f914c121a8fa79e216bf3</v>
      </c>
      <c r="N11" s="8" t="s">
        <v>19</v>
      </c>
      <c r="O11" s="17" t="str">
        <f>O3&amp;","&amp;O5&amp;","&amp;O7&amp;","&amp;O9</f>
        <v>4,740,{From:Mira,To:Siv,Value:5},
{From:Gari,To:Hue,Value:89},
{From:Yun,To:Jim,Value:23},,05aab10611dd9bc9865c34959b2d7d36f036ac89</v>
      </c>
    </row>
    <row r="12" spans="1:15" x14ac:dyDescent="0.25">
      <c r="B12" s="1"/>
      <c r="C12" s="6"/>
      <c r="E12" s="1"/>
      <c r="F12" s="6"/>
      <c r="H12" s="1"/>
      <c r="I12" s="6"/>
      <c r="K12" s="1"/>
      <c r="L12" s="6"/>
      <c r="N12" s="1"/>
      <c r="O12" s="6"/>
    </row>
    <row r="13" spans="1:15" x14ac:dyDescent="0.25">
      <c r="B13" s="8" t="s">
        <v>1</v>
      </c>
      <c r="C13" s="9" t="str">
        <f>SHA1HASH(C11)</f>
        <v>50aa1bb49d7c85dfc2e2b03569227528e04c74f3</v>
      </c>
      <c r="E13" s="8" t="s">
        <v>1</v>
      </c>
      <c r="F13" s="9" t="str">
        <f>SHA1HASH(F11)</f>
        <v>45aa469dff0cbd8eb5ee8453bf17a3b2088f70ac</v>
      </c>
      <c r="H13" s="8" t="s">
        <v>1</v>
      </c>
      <c r="I13" s="9" t="str">
        <f>SHA1HASH(I11)</f>
        <v>77aa3808330fc3cba57f914c121a8fa79e216bf3</v>
      </c>
      <c r="K13" s="8" t="s">
        <v>1</v>
      </c>
      <c r="L13" s="9" t="str">
        <f>SHA1HASH(L11)</f>
        <v>05aab10611dd9bc9865c34959b2d7d36f036ac89</v>
      </c>
      <c r="N13" s="8" t="s">
        <v>1</v>
      </c>
      <c r="O13" s="9" t="str">
        <f>SHA1HASH(O11)</f>
        <v>45aa8d3b025a7ea39dbb964bbb27e969f561b65a</v>
      </c>
    </row>
    <row r="14" spans="1:15" x14ac:dyDescent="0.25">
      <c r="C14" s="6"/>
      <c r="F14" s="6"/>
      <c r="I14" s="6"/>
      <c r="L14" s="6"/>
      <c r="O14" s="6"/>
    </row>
    <row r="15" spans="1:15" x14ac:dyDescent="0.25">
      <c r="C15" s="6"/>
      <c r="F15" s="6"/>
      <c r="I15" s="6"/>
      <c r="L15" s="6"/>
      <c r="O15" s="6"/>
    </row>
  </sheetData>
  <conditionalFormatting sqref="C13">
    <cfRule type="notContainsText" dxfId="9" priority="9" operator="notContains" text="aa">
      <formula>ISERROR(SEARCH("aa",C13))</formula>
    </cfRule>
    <cfRule type="containsText" dxfId="8" priority="10" operator="containsText" text="aa">
      <formula>NOT(ISERROR(SEARCH("aa",C13)))</formula>
    </cfRule>
  </conditionalFormatting>
  <conditionalFormatting sqref="F13">
    <cfRule type="notContainsText" dxfId="7" priority="7" operator="notContains" text="aa">
      <formula>ISERROR(SEARCH("aa",F13))</formula>
    </cfRule>
    <cfRule type="containsText" dxfId="6" priority="8" operator="containsText" text="aa">
      <formula>NOT(ISERROR(SEARCH("aa",F13)))</formula>
    </cfRule>
  </conditionalFormatting>
  <conditionalFormatting sqref="I13">
    <cfRule type="notContainsText" dxfId="5" priority="5" operator="notContains" text="aa">
      <formula>ISERROR(SEARCH("aa",I13))</formula>
    </cfRule>
    <cfRule type="containsText" dxfId="4" priority="6" operator="containsText" text="aa">
      <formula>NOT(ISERROR(SEARCH("aa",I13)))</formula>
    </cfRule>
  </conditionalFormatting>
  <conditionalFormatting sqref="L13">
    <cfRule type="notContainsText" dxfId="3" priority="3" operator="notContains" text="aa">
      <formula>ISERROR(SEARCH("aa",L13))</formula>
    </cfRule>
    <cfRule type="containsText" dxfId="2" priority="4" operator="containsText" text="aa">
      <formula>NOT(ISERROR(SEARCH("aa",L13)))</formula>
    </cfRule>
  </conditionalFormatting>
  <conditionalFormatting sqref="O13">
    <cfRule type="notContainsText" dxfId="1" priority="1" operator="notContains" text="aa">
      <formula>ISERROR(SEARCH("aa",O13))</formula>
    </cfRule>
    <cfRule type="containsText" dxfId="0" priority="2" operator="containsText" text="aa">
      <formula>NOT(ISERROR(SEARCH("aa",O13)))</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D1:P28"/>
  <sheetViews>
    <sheetView showGridLines="0" workbookViewId="0">
      <selection activeCell="B13" sqref="B13"/>
    </sheetView>
  </sheetViews>
  <sheetFormatPr defaultRowHeight="15" x14ac:dyDescent="0.25"/>
  <sheetData>
    <row r="1" spans="4:16" x14ac:dyDescent="0.25">
      <c r="D1" s="57" t="s">
        <v>70</v>
      </c>
      <c r="E1" s="57"/>
      <c r="F1" s="57"/>
      <c r="G1" s="57"/>
      <c r="H1" s="57"/>
      <c r="I1" s="57"/>
      <c r="J1" s="57"/>
      <c r="K1" s="57"/>
      <c r="L1" s="57"/>
      <c r="M1" s="57"/>
      <c r="N1" s="57"/>
      <c r="O1" s="57"/>
      <c r="P1" s="57"/>
    </row>
    <row r="25" spans="4:16" ht="15.75" thickBot="1" x14ac:dyDescent="0.3"/>
    <row r="26" spans="4:16" ht="15.75" thickBot="1" x14ac:dyDescent="0.3">
      <c r="D26" s="14" t="s">
        <v>71</v>
      </c>
      <c r="E26" s="53" t="s">
        <v>69</v>
      </c>
      <c r="F26" s="53"/>
      <c r="G26" s="53"/>
      <c r="H26" s="53"/>
      <c r="I26" s="53"/>
      <c r="J26" s="53"/>
      <c r="K26" s="53"/>
      <c r="L26" s="53"/>
      <c r="M26" s="53"/>
      <c r="N26" s="53"/>
      <c r="O26" s="53"/>
      <c r="P26" s="13"/>
    </row>
    <row r="27" spans="4:16" ht="15.75" thickBot="1" x14ac:dyDescent="0.3"/>
    <row r="28" spans="4:16" ht="15.75" thickBot="1" x14ac:dyDescent="0.3">
      <c r="D28" s="58" t="s">
        <v>72</v>
      </c>
      <c r="E28" s="59"/>
      <c r="F28" s="59"/>
      <c r="G28" s="59"/>
      <c r="H28" s="59"/>
      <c r="I28" s="59"/>
      <c r="J28" s="59"/>
      <c r="K28" s="59"/>
      <c r="L28" s="59"/>
      <c r="M28" s="59"/>
      <c r="N28" s="59"/>
      <c r="O28" s="59"/>
      <c r="P28" s="60"/>
    </row>
  </sheetData>
  <mergeCells count="2">
    <mergeCell ref="D1:P1"/>
    <mergeCell ref="D28:P28"/>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About</vt:lpstr>
      <vt:lpstr>Def0#</vt:lpstr>
      <vt:lpstr>Def0Ex</vt:lpstr>
      <vt:lpstr>Def1Crypto#</vt:lpstr>
      <vt:lpstr>Def1Ex</vt:lpstr>
      <vt:lpstr>Block</vt:lpstr>
      <vt:lpstr>BlockChain</vt:lpstr>
      <vt:lpstr>Peers</vt:lpstr>
      <vt:lpstr>Tokens</vt:lpstr>
      <vt:lpstr>MiningFarm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ADN</dc:creator>
  <cp:lastModifiedBy>ADN</cp:lastModifiedBy>
  <dcterms:created xsi:type="dcterms:W3CDTF">2018-03-18T09:40:09Z</dcterms:created>
  <dcterms:modified xsi:type="dcterms:W3CDTF">2018-03-19T13:50:27Z</dcterms:modified>
</cp:coreProperties>
</file>